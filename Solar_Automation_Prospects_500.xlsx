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ar Automation Prospects" sheetId="1" state="visible" r:id="rId1"/>
    <sheet name="Research Summary" sheetId="2" state="visible" r:id="rId2"/>
  </sheets>
  <definedNames>
    <definedName name="_xlnm._FilterDatabase" localSheetId="0" hidden="1">'Solar Automation Prospects'!$A$1:$AO$260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font>
    <font>
      <name val="Arial"/>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1" fillId="2" borderId="0" pivotButton="0" quotePrefix="0" xfId="0"/>
    <xf numFmtId="0" fontId="4" fillId="0" borderId="0" pivotButton="0" quotePrefix="0" xfId="0"/>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18" customWidth="1" min="3" max="3"/>
    <col width="18" customWidth="1" min="4" max="4"/>
    <col width="30" customWidth="1" min="5" max="5"/>
    <col width="18" customWidth="1" min="6" max="6"/>
    <col width="18" customWidth="1" min="7" max="7"/>
    <col width="18" customWidth="1" min="8" max="8"/>
    <col width="3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50" customWidth="1" min="29" max="29"/>
    <col width="18" customWidth="1" min="30" max="30"/>
    <col width="50" customWidth="1" min="31" max="31"/>
    <col width="18" customWidth="1" min="32" max="32"/>
    <col width="70" customWidth="1" min="33" max="33"/>
    <col width="40" customWidth="1" min="34" max="34"/>
    <col width="60" customWidth="1" min="35" max="35"/>
    <col width="18" customWidth="1" min="36" max="36"/>
    <col width="18" customWidth="1" min="37" max="37"/>
    <col width="18" customWidth="1" min="38" max="38"/>
    <col width="18" customWidth="1" min="39" max="39"/>
    <col width="18" customWidth="1" min="40" max="40"/>
    <col width="50" customWidth="1" min="41" max="41"/>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Solar Business Type</t>
        </is>
      </c>
      <c r="K1" s="1" t="inlineStr">
        <is>
          <t>Solar Services</t>
        </is>
      </c>
      <c r="L1" s="1" t="inlineStr">
        <is>
          <t>Customer Type</t>
        </is>
      </c>
      <c r="M1" s="1" t="inlineStr">
        <is>
          <t>Company Size</t>
        </is>
      </c>
      <c r="N1" s="1" t="inlineStr">
        <is>
          <t>Service Area</t>
        </is>
      </c>
      <c r="O1" s="1" t="inlineStr">
        <is>
          <t>Locations</t>
        </is>
      </c>
      <c r="P1" s="1" t="inlineStr">
        <is>
          <t>Quote Request Available</t>
        </is>
      </c>
      <c r="Q1" s="1" t="inlineStr">
        <is>
          <t>Consultation Available</t>
        </is>
      </c>
      <c r="R1" s="1" t="inlineStr">
        <is>
          <t>Appointment Booking Available</t>
        </is>
      </c>
      <c r="S1" s="1" t="inlineStr">
        <is>
          <t>Online Lead Form</t>
        </is>
      </c>
      <c r="T1" s="1" t="inlineStr">
        <is>
          <t>CRM</t>
        </is>
      </c>
      <c r="U1" s="1" t="inlineStr">
        <is>
          <t>Customer Support System</t>
        </is>
      </c>
      <c r="V1" s="1" t="inlineStr">
        <is>
          <t>Marketing Channels</t>
        </is>
      </c>
      <c r="W1" s="1" t="inlineStr">
        <is>
          <t>Sales Team Signal</t>
        </is>
      </c>
      <c r="X1" s="1" t="inlineStr">
        <is>
          <t>Lead Volume Signal</t>
        </is>
      </c>
      <c r="Y1" s="1" t="inlineStr">
        <is>
          <t>Follow Up Signal</t>
        </is>
      </c>
      <c r="Z1" s="1" t="inlineStr">
        <is>
          <t>Automation Signal</t>
        </is>
      </c>
      <c r="AA1" s="1" t="inlineStr">
        <is>
          <t>Automation Opportunity</t>
        </is>
      </c>
      <c r="AB1" s="1" t="inlineStr">
        <is>
          <t>Buying Intent</t>
        </is>
      </c>
      <c r="AC1" s="1" t="inlineStr">
        <is>
          <t>Personalization Detail</t>
        </is>
      </c>
      <c r="AD1" s="1" t="inlineStr">
        <is>
          <t>Personalization Reason</t>
        </is>
      </c>
      <c r="AE1" s="1" t="inlineStr">
        <is>
          <t>Personalized Opening</t>
        </is>
      </c>
      <c r="AF1" s="1" t="inlineStr">
        <is>
          <t>Subject Line</t>
        </is>
      </c>
      <c r="AG1" s="1" t="inlineStr">
        <is>
          <t>Email Body</t>
        </is>
      </c>
      <c r="AH1" s="1" t="inlineStr">
        <is>
          <t>Source URL</t>
        </is>
      </c>
      <c r="AI1" s="1" t="inlineStr">
        <is>
          <t>Evidence</t>
        </is>
      </c>
      <c r="AJ1" s="1" t="inlineStr">
        <is>
          <t>Evidence Type</t>
        </is>
      </c>
      <c r="AK1" s="1" t="inlineStr">
        <is>
          <t>Research Confidence</t>
        </is>
      </c>
      <c r="AL1" s="1" t="inlineStr">
        <is>
          <t>Lead Status</t>
        </is>
      </c>
      <c r="AM1" s="1" t="inlineStr">
        <is>
          <t>Send Status</t>
        </is>
      </c>
      <c r="AN1" s="1" t="inlineStr">
        <is>
          <t>Date Sent</t>
        </is>
      </c>
      <c r="AO1" s="1" t="inlineStr">
        <is>
          <t>Notes</t>
        </is>
      </c>
    </row>
    <row r="2">
      <c r="A2" s="2" t="inlineStr"/>
      <c r="B2" s="2" t="inlineStr">
        <is>
          <t>Harmon Solar</t>
        </is>
      </c>
      <c r="C2" s="2" t="inlineStr"/>
      <c r="D2" s="2" t="inlineStr"/>
      <c r="E2" s="2" t="inlineStr">
        <is>
          <t>info@harmonsolar.com</t>
        </is>
      </c>
      <c r="F2" s="2" t="inlineStr">
        <is>
          <t>United States</t>
        </is>
      </c>
      <c r="G2" s="2" t="inlineStr">
        <is>
          <t>Arizona</t>
        </is>
      </c>
      <c r="H2" s="2" t="inlineStr">
        <is>
          <t>Phoenix</t>
        </is>
      </c>
      <c r="I2" s="2" t="inlineStr">
        <is>
          <t>https://harmonsolar.com/</t>
        </is>
      </c>
      <c r="J2" s="2" t="inlineStr">
        <is>
          <t>Residential &amp; commercial solar installer</t>
        </is>
      </c>
      <c r="K2" s="2" t="inlineStr">
        <is>
          <t>Solar PV design and installation, solar monitoring, solar inspection, solar service</t>
        </is>
      </c>
      <c r="L2" s="2" t="inlineStr">
        <is>
          <t>Residential &amp; Commercial</t>
        </is>
      </c>
      <c r="M2" s="2" t="inlineStr">
        <is>
          <t>Unknown</t>
        </is>
      </c>
      <c r="N2" s="2" t="inlineStr">
        <is>
          <t>Phoenix and Arizona statewide</t>
        </is>
      </c>
      <c r="O2" s="2" t="inlineStr">
        <is>
          <t>1 (945 W. Deer Valley Rd #100, Phoenix, AZ)</t>
        </is>
      </c>
      <c r="P2" s="2" t="inlineStr">
        <is>
          <t>Unknown</t>
        </is>
      </c>
      <c r="Q2" s="2" t="inlineStr">
        <is>
          <t>Unknown</t>
        </is>
      </c>
      <c r="R2" s="2" t="inlineStr">
        <is>
          <t>Unknown</t>
        </is>
      </c>
      <c r="S2" s="2" t="inlineStr">
        <is>
          <t>Unknown</t>
        </is>
      </c>
      <c r="T2" s="2" t="inlineStr">
        <is>
          <t>Unknown</t>
        </is>
      </c>
      <c r="U2" s="2" t="inlineStr">
        <is>
          <t>Separate service department phone line; active monitoring service</t>
        </is>
      </c>
      <c r="V2" s="2" t="inlineStr">
        <is>
          <t>Website contact page; phone; free solar workshops</t>
        </is>
      </c>
      <c r="W2" s="2" t="inlineStr">
        <is>
          <t>Separate sales hours (9am-5pm) and service/ops hours listed; partners login page</t>
        </is>
      </c>
      <c r="X2" s="2" t="inlineStr">
        <is>
          <t>Serving Phoenix and Arizona since 1975</t>
        </is>
      </c>
      <c r="Y2" s="2" t="inlineStr">
        <is>
          <t>None found</t>
        </is>
      </c>
      <c r="Z2" s="2" t="inlineStr">
        <is>
          <t>Contact page + phone-based sales line separate from service line</t>
        </is>
      </c>
      <c r="AA2" s="2" t="inlineStr">
        <is>
          <t>Lead routing</t>
        </is>
      </c>
      <c r="AB2" s="2" t="inlineStr">
        <is>
          <t>Medium</t>
        </is>
      </c>
      <c r="AC2" s="2" t="inlineStr">
        <is>
          <t>Your team has been installing solar across Arizona since 1975 and runs a separate solar monitoring service.</t>
        </is>
      </c>
      <c r="AD2" s="2" t="inlineStr">
        <is>
          <t>Supports the lead routing idea: Contact page + phone-based sales line separate from service line</t>
        </is>
      </c>
      <c r="AE2" s="2" t="inlineStr">
        <is>
          <t>I noticed your team has been installing solar across Arizona since 1975 and runs a separate solar monitoring service.</t>
        </is>
      </c>
      <c r="AF2" s="2" t="inlineStr">
        <is>
          <t>Routing solar enquiries at Harmon Solar</t>
        </is>
      </c>
      <c r="AG2" s="2" t="inlineStr">
        <is>
          <t>Hi Harmon Solar team,
I noticed your team has been installing solar across Arizona since 1975 and runs a separate solar monitoring service.
I work with businesses on AI and workflow automation. For a solar company like Harmon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 s="2" t="inlineStr">
        <is>
          <t>https://harmonsolar.com/contact/</t>
        </is>
      </c>
      <c r="AI2" s="2" t="inlineStr">
        <is>
          <t>Exact-match search for info@harmonsolar.com returns harmonsolar.com contact page; separate sales and service phone lines; pages for monitoring, inspection, partners login.</t>
        </is>
      </c>
      <c r="AJ2" s="2" t="inlineStr">
        <is>
          <t>Company website (contact page)</t>
        </is>
      </c>
      <c r="AK2" s="2" t="inlineStr">
        <is>
          <t>High</t>
        </is>
      </c>
      <c r="AL2" s="2" t="inlineStr">
        <is>
          <t>Ready</t>
        </is>
      </c>
      <c r="AM2" s="2" t="inlineStr">
        <is>
          <t>Not Sent</t>
        </is>
      </c>
      <c r="AN2" s="2" t="n"/>
      <c r="AO2" s="2" t="inlineStr">
        <is>
          <t>Batch 1 | Has a partners login page, which suggests a dealer/partner channel.</t>
        </is>
      </c>
    </row>
    <row r="3">
      <c r="A3" s="2" t="inlineStr"/>
      <c r="B3" s="2" t="inlineStr">
        <is>
          <t>Sacramento Solar Company</t>
        </is>
      </c>
      <c r="C3" s="2" t="inlineStr"/>
      <c r="D3" s="2" t="inlineStr"/>
      <c r="E3" s="2" t="inlineStr">
        <is>
          <t>contact@sacramentosolarcompany.com</t>
        </is>
      </c>
      <c r="F3" s="2" t="inlineStr">
        <is>
          <t>United States</t>
        </is>
      </c>
      <c r="G3" s="2" t="inlineStr">
        <is>
          <t>California</t>
        </is>
      </c>
      <c r="H3" s="2" t="inlineStr">
        <is>
          <t>Sacramento</t>
        </is>
      </c>
      <c r="I3" s="2" t="inlineStr">
        <is>
          <t>https://sacramentosolarcompany.com/</t>
        </is>
      </c>
      <c r="J3" s="2" t="inlineStr">
        <is>
          <t>Residential &amp; commercial solar installer</t>
        </is>
      </c>
      <c r="K3" s="2" t="inlineStr">
        <is>
          <t>Site assessment, solar system design, permitting, residential and commercial installation</t>
        </is>
      </c>
      <c r="L3" s="2" t="inlineStr">
        <is>
          <t>Residential &amp; Commercial</t>
        </is>
      </c>
      <c r="M3" s="2" t="inlineStr">
        <is>
          <t>Unknown</t>
        </is>
      </c>
      <c r="N3" s="2" t="inlineStr">
        <is>
          <t>Greater Sacramento (Lincoln, Rancho Cordova, Natomas, Fair Oaks, El Dorado Hills)</t>
        </is>
      </c>
      <c r="O3" s="2" t="inlineStr">
        <is>
          <t>1 (Sacramento, CA)</t>
        </is>
      </c>
      <c r="P3" s="2" t="inlineStr">
        <is>
          <t>Unknown</t>
        </is>
      </c>
      <c r="Q3" s="2" t="inlineStr">
        <is>
          <t>Unknown</t>
        </is>
      </c>
      <c r="R3" s="2" t="inlineStr">
        <is>
          <t>Unknown</t>
        </is>
      </c>
      <c r="S3" s="2" t="inlineStr">
        <is>
          <t>Unknown</t>
        </is>
      </c>
      <c r="T3" s="2" t="inlineStr">
        <is>
          <t>Unknown</t>
        </is>
      </c>
      <c r="U3" s="2" t="inlineStr">
        <is>
          <t>Phone + email</t>
        </is>
      </c>
      <c r="V3" s="2" t="inlineStr">
        <is>
          <t>Website with city landing pages; contact page; phone</t>
        </is>
      </c>
      <c r="W3" s="2" t="inlineStr">
        <is>
          <t>None found</t>
        </is>
      </c>
      <c r="X3" s="2" t="inlineStr">
        <is>
          <t>Multiple city-specific landing pages across the Sacramento region</t>
        </is>
      </c>
      <c r="Y3" s="2" t="inlineStr">
        <is>
          <t>Process listed as site assessment -&gt; design -&gt; permitting -&gt; installation</t>
        </is>
      </c>
      <c r="Z3" s="2" t="inlineStr">
        <is>
          <t>Contact page and email/phone inquiries feeding a site assessment step</t>
        </is>
      </c>
      <c r="AA3" s="2" t="inlineStr">
        <is>
          <t>Site survey scheduling</t>
        </is>
      </c>
      <c r="AB3" s="2" t="inlineStr">
        <is>
          <t>Medium</t>
        </is>
      </c>
      <c r="AC3" s="2" t="inlineStr">
        <is>
          <t>Your site has dedicated pages for Lincoln, Rancho Cordova, Natomas, Fair Oaks and El Dorado Hills.</t>
        </is>
      </c>
      <c r="AD3" s="2" t="inlineStr">
        <is>
          <t>Supports the site survey scheduling idea: Contact page and email/phone inquiries feeding a site assessment step</t>
        </is>
      </c>
      <c r="AE3" s="2" t="inlineStr">
        <is>
          <t>I noticed your site has dedicated pages for Lincoln, Rancho Cordova, Natomas, Fair Oaks and El Dorado Hills.</t>
        </is>
      </c>
      <c r="AF3" s="2" t="inlineStr">
        <is>
          <t>Survey bookings at Sacramento Solar Company</t>
        </is>
      </c>
      <c r="AG3" s="2" t="inlineStr">
        <is>
          <t>Hi Sacramento Solar Company team,
I noticed your site has dedicated pages for Lincoln, Rancho Cordova, Natomas, Fair Oaks and El Dorado Hills.
I work with businesses on AI and workflow automation. For a solar company like Sacramento Solar Company, once a lead is qualified, a workflow could offer survey slots, confirm the address and roof details, send reminders and notify the surveyor.
It keeps surveys moving without someone chasing each one by phone.
Would it be useful if I showed you how this could work with your current setup?
Best,
[Sender Name]
AI Automation Specialist</t>
        </is>
      </c>
      <c r="AH3" s="2" t="inlineStr">
        <is>
          <t>https://sacramentosolarcompany.com/contact</t>
        </is>
      </c>
      <c r="AI3" s="2" t="inlineStr">
        <is>
          <t>Exact-match email search returns the company contact page plus EnergyRanked/ServiceAgent listings; city landing pages on the domain.</t>
        </is>
      </c>
      <c r="AJ3" s="2" t="inlineStr">
        <is>
          <t>Company website (contact page)</t>
        </is>
      </c>
      <c r="AK3" s="2" t="inlineStr">
        <is>
          <t>High</t>
        </is>
      </c>
      <c r="AL3" s="2" t="inlineStr">
        <is>
          <t>Ready</t>
        </is>
      </c>
      <c r="AM3" s="2" t="inlineStr">
        <is>
          <t>Not Sent</t>
        </is>
      </c>
      <c r="AN3" s="2" t="n"/>
      <c r="AO3" s="2" t="inlineStr">
        <is>
          <t>Batch 1 | Search summary gave the address as 1820 L Street; Yelp shows 770 L St.</t>
        </is>
      </c>
    </row>
    <row r="4">
      <c r="A4" s="2" t="inlineStr">
        <is>
          <t>David Richardson</t>
        </is>
      </c>
      <c r="B4" s="2" t="inlineStr">
        <is>
          <t>Solar Pros AZ</t>
        </is>
      </c>
      <c r="C4" s="2" t="inlineStr">
        <is>
          <t>David</t>
        </is>
      </c>
      <c r="D4" s="2" t="inlineStr">
        <is>
          <t>Owner</t>
        </is>
      </c>
      <c r="E4" s="2" t="inlineStr">
        <is>
          <t>info@solarprosaz.com</t>
        </is>
      </c>
      <c r="F4" s="2" t="inlineStr">
        <is>
          <t>United States</t>
        </is>
      </c>
      <c r="G4" s="2" t="inlineStr">
        <is>
          <t>Arizona</t>
        </is>
      </c>
      <c r="H4" s="2" t="inlineStr">
        <is>
          <t>Tucson</t>
        </is>
      </c>
      <c r="I4" s="2" t="inlineStr">
        <is>
          <t>https://solarprosaz.com/</t>
        </is>
      </c>
      <c r="J4" s="2" t="inlineStr">
        <is>
          <t>Residential &amp; commercial solar installer</t>
        </is>
      </c>
      <c r="K4" s="2" t="inlineStr">
        <is>
          <t>Solar panel installation</t>
        </is>
      </c>
      <c r="L4" s="2" t="inlineStr">
        <is>
          <t>Residential &amp; Commercial</t>
        </is>
      </c>
      <c r="M4" s="2" t="inlineStr">
        <is>
          <t>Unknown</t>
        </is>
      </c>
      <c r="N4" s="2" t="inlineStr">
        <is>
          <t>Tucson / Southern Arizona</t>
        </is>
      </c>
      <c r="O4" s="2" t="inlineStr">
        <is>
          <t>1 (1951 W. Grant Rd Suite 180, Tucson, AZ)</t>
        </is>
      </c>
      <c r="P4" s="2" t="inlineStr">
        <is>
          <t>Unknown</t>
        </is>
      </c>
      <c r="Q4" s="2" t="inlineStr">
        <is>
          <t>Unknown</t>
        </is>
      </c>
      <c r="R4" s="2" t="inlineStr">
        <is>
          <t>Unknown</t>
        </is>
      </c>
      <c r="S4" s="2" t="inlineStr">
        <is>
          <t>Unknown</t>
        </is>
      </c>
      <c r="T4" s="2" t="inlineStr">
        <is>
          <t>Unknown</t>
        </is>
      </c>
      <c r="U4" s="2" t="inlineStr">
        <is>
          <t>Phone + email</t>
        </is>
      </c>
      <c r="V4" s="2" t="inlineStr">
        <is>
          <t>Website contact page; blog content; phone</t>
        </is>
      </c>
      <c r="W4" s="2" t="inlineStr">
        <is>
          <t>ZoomInfo lists a Sales Manager, Solar Consultant and Head Project Manager</t>
        </is>
      </c>
      <c r="X4" s="2" t="inlineStr">
        <is>
          <t>None found</t>
        </is>
      </c>
      <c r="Y4" s="2" t="inlineStr">
        <is>
          <t>None found</t>
        </is>
      </c>
      <c r="Z4" s="2" t="inlineStr">
        <is>
          <t>Contact page inquiries handled by solar consultants</t>
        </is>
      </c>
      <c r="AA4" s="2" t="inlineStr">
        <is>
          <t>Lead qualification chatbot</t>
        </is>
      </c>
      <c r="AB4" s="2" t="inlineStr">
        <is>
          <t>Medium</t>
        </is>
      </c>
      <c r="AC4" s="2" t="inlineStr">
        <is>
          <t>Your site runs a blog covering topics like whether solar panels work in the winter.</t>
        </is>
      </c>
      <c r="AD4" s="2" t="inlineStr">
        <is>
          <t>Supports the lead qualification chatbot idea: Contact page inquiries handled by solar consultants</t>
        </is>
      </c>
      <c r="AE4" s="2" t="inlineStr">
        <is>
          <t>I came across Solar Pros AZ and noticed your site runs a blog covering topics like whether solar panels work in the winter.</t>
        </is>
      </c>
      <c r="AF4" s="2" t="inlineStr">
        <is>
          <t>Qualifying solar enquiries at Solar Pros AZ</t>
        </is>
      </c>
      <c r="AG4" s="2" t="inlineStr">
        <is>
          <t>Hi David,
I came across Solar Pros AZ and noticed your site runs a blog covering topics like whether solar panels work in the winter.
I work with businesses on AI and workflow automation. For a solar company like Solar Pros AZ,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4" s="2" t="inlineStr">
        <is>
          <t>https://solarprosaz.com/contact/</t>
        </is>
      </c>
      <c r="AI4" s="2" t="inlineStr">
        <is>
          <t>Exact-match email search returns the solarprosaz.com contact page and blog; ZoomInfo profiles show an Owner (David Richardson), Sales Manager and Solar Consultant.</t>
        </is>
      </c>
      <c r="AJ4" s="2" t="inlineStr">
        <is>
          <t>Company website (contact page)</t>
        </is>
      </c>
      <c r="AK4" s="2" t="inlineStr">
        <is>
          <t>High</t>
        </is>
      </c>
      <c r="AL4" s="2" t="inlineStr">
        <is>
          <t>Ready</t>
        </is>
      </c>
      <c r="AM4" s="2" t="inlineStr">
        <is>
          <t>Not Sent</t>
        </is>
      </c>
      <c r="AN4" s="2" t="n"/>
      <c r="AO4" s="2" t="inlineStr">
        <is>
          <t>Batch 1 | Owner name comes from a ZoomInfo result title only.</t>
        </is>
      </c>
    </row>
    <row r="5">
      <c r="A5" s="2" t="inlineStr"/>
      <c r="B5" s="2" t="inlineStr">
        <is>
          <t>Solar Solution AZ</t>
        </is>
      </c>
      <c r="C5" s="2" t="inlineStr"/>
      <c r="D5" s="2" t="inlineStr"/>
      <c r="E5" s="2" t="inlineStr">
        <is>
          <t>info@solarsolutionaz.net</t>
        </is>
      </c>
      <c r="F5" s="2" t="inlineStr">
        <is>
          <t>United States</t>
        </is>
      </c>
      <c r="G5" s="2" t="inlineStr">
        <is>
          <t>Arizona</t>
        </is>
      </c>
      <c r="H5" s="2" t="inlineStr">
        <is>
          <t>Tucson</t>
        </is>
      </c>
      <c r="I5" s="2" t="inlineStr">
        <is>
          <t>https://solarsolutionaz.net/</t>
        </is>
      </c>
      <c r="J5" s="2" t="inlineStr">
        <is>
          <t>Residential &amp; commercial solar installer</t>
        </is>
      </c>
      <c r="K5" s="2" t="inlineStr">
        <is>
          <t>Solar panel installation, solar repair and service</t>
        </is>
      </c>
      <c r="L5" s="2" t="inlineStr">
        <is>
          <t>Residential &amp; Commercial</t>
        </is>
      </c>
      <c r="M5" s="2" t="inlineStr">
        <is>
          <t>Over 3,000 customers served (per site summary)</t>
        </is>
      </c>
      <c r="N5" s="2" t="inlineStr">
        <is>
          <t>Southern Arizona</t>
        </is>
      </c>
      <c r="O5" s="2" t="inlineStr">
        <is>
          <t>1 (3219 E 45th Street, Tucson, AZ)</t>
        </is>
      </c>
      <c r="P5" s="2" t="inlineStr">
        <is>
          <t>Unknown</t>
        </is>
      </c>
      <c r="Q5" s="2" t="inlineStr">
        <is>
          <t>Unknown</t>
        </is>
      </c>
      <c r="R5" s="2" t="inlineStr">
        <is>
          <t>Unknown</t>
        </is>
      </c>
      <c r="S5" s="2" t="inlineStr">
        <is>
          <t>Unknown</t>
        </is>
      </c>
      <c r="T5" s="2" t="inlineStr">
        <is>
          <t>Unknown</t>
        </is>
      </c>
      <c r="U5" s="2" t="inlineStr">
        <is>
          <t>Repair/service offering; phone + email</t>
        </is>
      </c>
      <c r="V5" s="2" t="inlineStr">
        <is>
          <t>Website contact page; Facebook; Nextdoor; phone</t>
        </is>
      </c>
      <c r="W5" s="2" t="inlineStr">
        <is>
          <t>None found</t>
        </is>
      </c>
      <c r="X5" s="2" t="inlineStr">
        <is>
          <t>3,000+ customers since 2012 (weak evidence, from summary)</t>
        </is>
      </c>
      <c r="Y5" s="2" t="inlineStr">
        <is>
          <t>None found</t>
        </is>
      </c>
      <c r="Z5" s="2" t="inlineStr">
        <is>
          <t>Contact form and phone inquiries for installs and repairs</t>
        </is>
      </c>
      <c r="AA5" s="2" t="inlineStr">
        <is>
          <t>Customer support automation</t>
        </is>
      </c>
      <c r="AB5" s="2" t="inlineStr">
        <is>
          <t>Medium</t>
        </is>
      </c>
      <c r="AC5" s="2" t="inlineStr">
        <is>
          <t>Your site shows a 'See Our Work' portfolio and a service-areas page for Southern Arizona.</t>
        </is>
      </c>
      <c r="AD5" s="2" t="inlineStr">
        <is>
          <t>Supports the customer support automation idea: Contact form and phone inquiries for installs and repairs</t>
        </is>
      </c>
      <c r="AE5" s="2" t="inlineStr">
        <is>
          <t>I noticed your site shows a 'See Our Work' portfolio and a service-areas page for Southern Arizona.</t>
        </is>
      </c>
      <c r="AF5" s="2" t="inlineStr">
        <is>
          <t>A support workflow idea for Solar Solution AZ</t>
        </is>
      </c>
      <c r="AG5" s="2" t="inlineStr">
        <is>
          <t>Hi Solar Solution AZ team,
I noticed your site shows a 'See Our Work' portfolio and a service-areas page for Southern Arizona.
I work with businesses on AI and workflow automation. For a solar company like Solar Solution AZ,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5" s="2" t="inlineStr">
        <is>
          <t>https://solarsolutionaz.net/contact-us/</t>
        </is>
      </c>
      <c r="AI5" s="2" t="inlineStr">
        <is>
          <t>Exact-match email search returns the solarsolutionaz.net contact page; pages for services, repair, service areas, see our work.</t>
        </is>
      </c>
      <c r="AJ5" s="2" t="inlineStr">
        <is>
          <t>Company website (contact page)</t>
        </is>
      </c>
      <c r="AK5" s="2" t="inlineStr">
        <is>
          <t>High</t>
        </is>
      </c>
      <c r="AL5" s="2" t="inlineStr">
        <is>
          <t>Ready</t>
        </is>
      </c>
      <c r="AM5" s="2" t="inlineStr">
        <is>
          <t>Not Sent</t>
        </is>
      </c>
      <c r="AN5" s="2" t="n"/>
      <c r="AO5" s="2" t="inlineStr">
        <is>
          <t>Batch 1</t>
        </is>
      </c>
    </row>
    <row r="6">
      <c r="A6" s="2" t="inlineStr"/>
      <c r="B6" s="2" t="inlineStr">
        <is>
          <t>Technicians For Sustainability (TFS)</t>
        </is>
      </c>
      <c r="C6" s="2" t="inlineStr"/>
      <c r="D6" s="2" t="inlineStr"/>
      <c r="E6" s="2" t="inlineStr">
        <is>
          <t>info@tfssolar.com</t>
        </is>
      </c>
      <c r="F6" s="2" t="inlineStr">
        <is>
          <t>United States</t>
        </is>
      </c>
      <c r="G6" s="2" t="inlineStr">
        <is>
          <t>Arizona</t>
        </is>
      </c>
      <c r="H6" s="2" t="inlineStr">
        <is>
          <t>Tucson</t>
        </is>
      </c>
      <c r="I6" s="2" t="inlineStr">
        <is>
          <t>https://www.tfssolar.com/</t>
        </is>
      </c>
      <c r="J6" s="2" t="inlineStr">
        <is>
          <t>Solar &amp; battery installer</t>
        </is>
      </c>
      <c r="K6" s="2" t="inlineStr">
        <is>
          <t>Solar PV, battery storage, commercial solar</t>
        </is>
      </c>
      <c r="L6" s="2" t="inlineStr">
        <is>
          <t>Residential &amp; Commercial</t>
        </is>
      </c>
      <c r="M6" s="2" t="inlineStr">
        <is>
          <t>Unknown</t>
        </is>
      </c>
      <c r="N6" s="2" t="inlineStr">
        <is>
          <t>Southern Arizona</t>
        </is>
      </c>
      <c r="O6" s="2" t="inlineStr">
        <is>
          <t>1 (1050 E 19th Street, Tucson, AZ)</t>
        </is>
      </c>
      <c r="P6" s="2" t="inlineStr">
        <is>
          <t>Unknown</t>
        </is>
      </c>
      <c r="Q6" s="2" t="inlineStr">
        <is>
          <t>Unknown</t>
        </is>
      </c>
      <c r="R6" s="2" t="inlineStr">
        <is>
          <t>Unknown</t>
        </is>
      </c>
      <c r="S6" s="2" t="inlineStr">
        <is>
          <t>Unknown</t>
        </is>
      </c>
      <c r="T6" s="2" t="inlineStr">
        <is>
          <t>Unknown</t>
        </is>
      </c>
      <c r="U6" s="2" t="inlineStr">
        <is>
          <t>Phone + email</t>
        </is>
      </c>
      <c r="V6" s="2" t="inlineStr">
        <is>
          <t>Website contact page; Facebook; X; annual report</t>
        </is>
      </c>
      <c r="W6" s="2" t="inlineStr">
        <is>
          <t>None found</t>
        </is>
      </c>
      <c r="X6" s="2" t="inlineStr">
        <is>
          <t>Operating since 2003; publishes an annual report</t>
        </is>
      </c>
      <c r="Y6" s="2" t="inlineStr">
        <is>
          <t>None found</t>
        </is>
      </c>
      <c r="Z6" s="2" t="inlineStr">
        <is>
          <t>Contact page and phone inquiries</t>
        </is>
      </c>
      <c r="AA6" s="2" t="inlineStr">
        <is>
          <t>Post installation follow up</t>
        </is>
      </c>
      <c r="AB6" s="2" t="inlineStr">
        <is>
          <t>Medium</t>
        </is>
      </c>
      <c r="AC6" s="2" t="inlineStr">
        <is>
          <t>Your team publishes an annual report, including a 2024 edition on tfssolar.com.</t>
        </is>
      </c>
      <c r="AD6" s="2" t="inlineStr">
        <is>
          <t>Supports the post installation follow up idea: Contact page and phone inquiries</t>
        </is>
      </c>
      <c r="AE6" s="2" t="inlineStr">
        <is>
          <t>I was looking at your website and saw that your team publishes an annual report, including a 2024 edition on tfssolar.com.</t>
        </is>
      </c>
      <c r="AF6" s="2" t="inlineStr">
        <is>
          <t>An idea for Technicians For Sustainability (TFS) customers</t>
        </is>
      </c>
      <c r="AG6" s="2" t="inlineStr">
        <is>
          <t>Hi Technicians For Sustainability (TFS) team,
I was looking at your website and saw that your team publishes an annual report, including a 2024 edition on tfssolar.com.
I work with businesses on AI and workflow automation. For a solar company like Technicians For Sustainability (TFS), after each install, an automatic follow up could check the customer is happy, share monitoring tips, and ask for a review or referral.
More reviews and referrals without adding admin work.
Would it be useful if I showed you how this could work with your current setup?
Best,
[Sender Name]
AI Automation Specialist</t>
        </is>
      </c>
      <c r="AH6" s="2" t="inlineStr">
        <is>
          <t>https://www.tfssolar.com/contact</t>
        </is>
      </c>
      <c r="AI6" s="2" t="inlineStr">
        <is>
          <t>Exact-match email search returns tfssolar.com pages (home, 2024 annual report, commercial). Employee-owned Tucson solar and battery installer.</t>
        </is>
      </c>
      <c r="AJ6" s="2" t="inlineStr">
        <is>
          <t>Company website</t>
        </is>
      </c>
      <c r="AK6" s="2" t="inlineStr">
        <is>
          <t>High</t>
        </is>
      </c>
      <c r="AL6" s="2" t="inlineStr">
        <is>
          <t>Ready</t>
        </is>
      </c>
      <c r="AM6" s="2" t="inlineStr">
        <is>
          <t>Not Sent</t>
        </is>
      </c>
      <c r="AN6" s="2" t="n"/>
      <c r="AO6" s="2" t="inlineStr">
        <is>
          <t>Batch 1 | Employee-owned. | Email source: https://www.tfssolar.com/</t>
        </is>
      </c>
    </row>
    <row r="7">
      <c r="A7" s="2" t="inlineStr"/>
      <c r="B7" s="2" t="inlineStr">
        <is>
          <t>Nevada Solar Group</t>
        </is>
      </c>
      <c r="C7" s="2" t="inlineStr"/>
      <c r="D7" s="2" t="inlineStr"/>
      <c r="E7" s="2" t="inlineStr">
        <is>
          <t>info@nevadasolargroup.com</t>
        </is>
      </c>
      <c r="F7" s="2" t="inlineStr">
        <is>
          <t>United States</t>
        </is>
      </c>
      <c r="G7" s="2" t="inlineStr">
        <is>
          <t>Nevada</t>
        </is>
      </c>
      <c r="H7" s="2" t="inlineStr">
        <is>
          <t>Las Vegas</t>
        </is>
      </c>
      <c r="I7" s="2" t="inlineStr">
        <is>
          <t>https://nevadasolargroup.com/</t>
        </is>
      </c>
      <c r="J7" s="2" t="inlineStr">
        <is>
          <t>Solar &amp; battery installer</t>
        </is>
      </c>
      <c r="K7" s="2" t="inlineStr">
        <is>
          <t>Solar panel installation, battery backup, off-grid systems</t>
        </is>
      </c>
      <c r="L7" s="2" t="inlineStr">
        <is>
          <t>Residential &amp; Commercial</t>
        </is>
      </c>
      <c r="M7" s="2" t="inlineStr">
        <is>
          <t>Unknown</t>
        </is>
      </c>
      <c r="N7" s="2" t="inlineStr">
        <is>
          <t>Las Vegas Valley (Summerlin, Lake Las Vegas, MacDonald Highlands, Arts District, etc.)</t>
        </is>
      </c>
      <c r="O7" s="2" t="inlineStr">
        <is>
          <t>1 (5145 S Arville St, Las Vegas, NV)</t>
        </is>
      </c>
      <c r="P7" s="2" t="inlineStr">
        <is>
          <t>Yes</t>
        </is>
      </c>
      <c r="Q7" s="2" t="inlineStr">
        <is>
          <t>Unknown</t>
        </is>
      </c>
      <c r="R7" s="2" t="inlineStr">
        <is>
          <t>Unknown</t>
        </is>
      </c>
      <c r="S7" s="2" t="inlineStr">
        <is>
          <t>Unknown</t>
        </is>
      </c>
      <c r="T7" s="2" t="inlineStr">
        <is>
          <t>Unknown</t>
        </is>
      </c>
      <c r="U7" s="2" t="inlineStr">
        <is>
          <t>Phone + email</t>
        </is>
      </c>
      <c r="V7" s="2" t="inlineStr">
        <is>
          <t>Neighborhood landing pages; Facebook; Yelp; phone/email for free estimate</t>
        </is>
      </c>
      <c r="W7" s="2" t="inlineStr">
        <is>
          <t>None found</t>
        </is>
      </c>
      <c r="X7" s="2" t="inlineStr">
        <is>
          <t>Many neighborhood-specific landing pages; 24 Yelp reviews</t>
        </is>
      </c>
      <c r="Y7" s="2" t="inlineStr">
        <is>
          <t>None found</t>
        </is>
      </c>
      <c r="Z7" s="2" t="inlineStr">
        <is>
          <t>Free estimate requested by phone or email</t>
        </is>
      </c>
      <c r="AA7" s="2" t="inlineStr">
        <is>
          <t>Quote request automation</t>
        </is>
      </c>
      <c r="AB7" s="2" t="inlineStr">
        <is>
          <t>Medium</t>
        </is>
      </c>
      <c r="AC7" s="2" t="inlineStr">
        <is>
          <t>Your site invites Las Vegas homeowners to call or email info@nevadasolargroup.com to schedule a free estimate.</t>
        </is>
      </c>
      <c r="AD7" s="2" t="inlineStr">
        <is>
          <t>Supports the quote request automation idea: Free estimate requested by phone or email</t>
        </is>
      </c>
      <c r="AE7" s="2" t="inlineStr">
        <is>
          <t>I came across Nevada Solar Group and noticed your site invites Las Vegas homeowners to call or email info@nevadasolargroup.com to schedule a free estimate.</t>
        </is>
      </c>
      <c r="AF7" s="2" t="inlineStr">
        <is>
          <t>Quote requests at Nevada Solar Group</t>
        </is>
      </c>
      <c r="AG7" s="2" t="inlineStr">
        <is>
          <t>Hi Nevada Solar Group team,
I came across Nevada Solar Group and noticed your site invites Las Vegas homeowners to call or email info@nevadasolargroup.com to schedule a free estimate.
I work with businesses on AI and workflow automation. For a solar company like Nevada Solar Group,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7" s="2" t="inlineStr">
        <is>
          <t>https://nevadasolargroup.com/las-vegas/</t>
        </is>
      </c>
      <c r="AI7" s="2" t="inlineStr">
        <is>
          <t>Exact-match email search returns several nevadasolargroup.com neighborhood pages that ask visitors to email or call for a free estimate.</t>
        </is>
      </c>
      <c r="AJ7" s="2" t="inlineStr">
        <is>
          <t>Company website (service area pages)</t>
        </is>
      </c>
      <c r="AK7" s="2" t="inlineStr">
        <is>
          <t>High</t>
        </is>
      </c>
      <c r="AL7" s="2" t="inlineStr">
        <is>
          <t>Ready</t>
        </is>
      </c>
      <c r="AM7" s="2" t="inlineStr">
        <is>
          <t>Not Sent</t>
        </is>
      </c>
      <c r="AN7" s="2" t="n"/>
      <c r="AO7" s="2" t="inlineStr">
        <is>
          <t>Batch 1</t>
        </is>
      </c>
    </row>
    <row r="8">
      <c r="A8" s="2" t="inlineStr"/>
      <c r="B8" s="2" t="inlineStr">
        <is>
          <t>Pacific Solar</t>
        </is>
      </c>
      <c r="C8" s="2" t="inlineStr"/>
      <c r="D8" s="2" t="inlineStr"/>
      <c r="E8" s="2" t="inlineStr">
        <is>
          <t>info@pacificsolarcompany.com</t>
        </is>
      </c>
      <c r="F8" s="2" t="inlineStr">
        <is>
          <t>United States</t>
        </is>
      </c>
      <c r="G8" s="2" t="inlineStr">
        <is>
          <t>California</t>
        </is>
      </c>
      <c r="H8" s="2" t="inlineStr">
        <is>
          <t>Clovis</t>
        </is>
      </c>
      <c r="I8" s="2" t="inlineStr">
        <is>
          <t>https://pacificsolarcompany.com/</t>
        </is>
      </c>
      <c r="J8" s="2" t="inlineStr">
        <is>
          <t>Residential &amp; commercial solar installer</t>
        </is>
      </c>
      <c r="K8" s="2" t="inlineStr">
        <is>
          <t>Custom solar energy system design and installation</t>
        </is>
      </c>
      <c r="L8" s="2" t="inlineStr">
        <is>
          <t>Residential &amp; Commercial</t>
        </is>
      </c>
      <c r="M8" s="2" t="inlineStr">
        <is>
          <t>Unknown</t>
        </is>
      </c>
      <c r="N8" s="2" t="inlineStr">
        <is>
          <t>Fresno / Clovis, Central Valley</t>
        </is>
      </c>
      <c r="O8" s="2" t="inlineStr">
        <is>
          <t>1 (228 N Fairfax Ave, Clovis, CA)</t>
        </is>
      </c>
      <c r="P8" s="2" t="inlineStr">
        <is>
          <t>Yes</t>
        </is>
      </c>
      <c r="Q8" s="2" t="inlineStr">
        <is>
          <t>Unknown</t>
        </is>
      </c>
      <c r="R8" s="2" t="inlineStr">
        <is>
          <t>Unknown</t>
        </is>
      </c>
      <c r="S8" s="2" t="inlineStr">
        <is>
          <t>Yes</t>
        </is>
      </c>
      <c r="T8" s="2" t="inlineStr">
        <is>
          <t>Unknown</t>
        </is>
      </c>
      <c r="U8" s="2" t="inlineStr">
        <is>
          <t>Phone + email</t>
        </is>
      </c>
      <c r="V8" s="2" t="inlineStr">
        <is>
          <t>Website contact/free quote page; Facebook; phone</t>
        </is>
      </c>
      <c r="W8" s="2" t="inlineStr">
        <is>
          <t>Site has a /salesrep/ page</t>
        </is>
      </c>
      <c r="X8" s="2" t="inlineStr">
        <is>
          <t>Project portfolio pages (residential and commercial)</t>
        </is>
      </c>
      <c r="Y8" s="2" t="inlineStr">
        <is>
          <t>None found</t>
        </is>
      </c>
      <c r="Z8" s="2" t="inlineStr">
        <is>
          <t>Free solar quote form on contact page</t>
        </is>
      </c>
      <c r="AA8" s="2" t="inlineStr">
        <is>
          <t>Quote follow up</t>
        </is>
      </c>
      <c r="AB8" s="2" t="inlineStr">
        <is>
          <t>High</t>
        </is>
      </c>
      <c r="AC8" s="2" t="inlineStr">
        <is>
          <t>Your contact page is titled 'Get Your Free Solar Quote'.</t>
        </is>
      </c>
      <c r="AD8" s="2" t="inlineStr">
        <is>
          <t>Supports the quote follow up idea: Free solar quote form on contact page</t>
        </is>
      </c>
      <c r="AE8" s="2" t="inlineStr">
        <is>
          <t>I noticed your contact page is titled 'Get Your Free Solar Quote'.</t>
        </is>
      </c>
      <c r="AF8" s="2" t="inlineStr">
        <is>
          <t>Quote follow ups at Pacific Solar</t>
        </is>
      </c>
      <c r="AG8" s="2" t="inlineStr">
        <is>
          <t>Hi Pacific Solar team,
I noticed your contact page is titled 'Get Your Free Solar Quote'.
I work with businesses on AI and workflow automation. For a solar company like Pacific Solar, after a quote goes out, a short sequence could check in by email or SMS, answer common questions and alert the salesperson when someone replies or opens it again.
Fewer quotes go quiet just because nobody had time to follow up.
Would it be useful if I showed you how this could work with your current setup?
Best,
[Sender Name]
AI Automation Specialist</t>
        </is>
      </c>
      <c r="AH8" s="2" t="inlineStr">
        <is>
          <t>https://pacificsolarcompany.com/contact/</t>
        </is>
      </c>
      <c r="AI8" s="2" t="inlineStr">
        <is>
          <t>Exact-match email search returns pacificsolarcompany.com pages including 'Contact Pacific Solar | Get Your Free Solar Quote' and /salesrep/.</t>
        </is>
      </c>
      <c r="AJ8" s="2" t="inlineStr">
        <is>
          <t>Company website (quote page)</t>
        </is>
      </c>
      <c r="AK8" s="2" t="inlineStr">
        <is>
          <t>High</t>
        </is>
      </c>
      <c r="AL8" s="2" t="inlineStr">
        <is>
          <t>Ready</t>
        </is>
      </c>
      <c r="AM8" s="2" t="inlineStr">
        <is>
          <t>Not Sent</t>
        </is>
      </c>
      <c r="AN8" s="2" t="n"/>
      <c r="AO8" s="2" t="inlineStr">
        <is>
          <t>Batch 1 | Two phone numbers seen: (559) 251-5592 and (559) 330-1852.</t>
        </is>
      </c>
    </row>
    <row r="9">
      <c r="A9" s="2" t="inlineStr"/>
      <c r="B9" s="2" t="inlineStr">
        <is>
          <t>Ultimate Solar Pro Inc</t>
        </is>
      </c>
      <c r="C9" s="2" t="inlineStr"/>
      <c r="D9" s="2" t="inlineStr"/>
      <c r="E9" s="2" t="inlineStr">
        <is>
          <t>info@ultimatesolarpro.com</t>
        </is>
      </c>
      <c r="F9" s="2" t="inlineStr">
        <is>
          <t>United States</t>
        </is>
      </c>
      <c r="G9" s="2" t="inlineStr">
        <is>
          <t>California</t>
        </is>
      </c>
      <c r="H9" s="2" t="inlineStr">
        <is>
          <t>Fresno</t>
        </is>
      </c>
      <c r="I9" s="2" t="inlineStr">
        <is>
          <t>http://ultimatesolarpro.com/</t>
        </is>
      </c>
      <c r="J9" s="2" t="inlineStr">
        <is>
          <t>Residential &amp; commercial solar installer</t>
        </is>
      </c>
      <c r="K9" s="2" t="inlineStr">
        <is>
          <t>Solar installation</t>
        </is>
      </c>
      <c r="L9" s="2" t="inlineStr">
        <is>
          <t>Residential &amp; Commercial</t>
        </is>
      </c>
      <c r="M9" s="2" t="inlineStr">
        <is>
          <t>Unknown</t>
        </is>
      </c>
      <c r="N9" s="2" t="inlineStr">
        <is>
          <t>Fresno area</t>
        </is>
      </c>
      <c r="O9" s="2" t="inlineStr">
        <is>
          <t>1 (7975 N Cedar Ave #102, Fresno, CA)</t>
        </is>
      </c>
      <c r="P9" s="2" t="inlineStr">
        <is>
          <t>Unknown</t>
        </is>
      </c>
      <c r="Q9" s="2" t="inlineStr">
        <is>
          <t>Unknown</t>
        </is>
      </c>
      <c r="R9" s="2" t="inlineStr">
        <is>
          <t>Unknown</t>
        </is>
      </c>
      <c r="S9" s="2" t="inlineStr">
        <is>
          <t>Unknown</t>
        </is>
      </c>
      <c r="T9" s="2" t="inlineStr">
        <is>
          <t>Unknown</t>
        </is>
      </c>
      <c r="U9" s="2" t="inlineStr">
        <is>
          <t>Phone + email</t>
        </is>
      </c>
      <c r="V9" s="2" t="inlineStr">
        <is>
          <t>Website contact page; phone</t>
        </is>
      </c>
      <c r="W9" s="2" t="inlineStr">
        <is>
          <t>None found</t>
        </is>
      </c>
      <c r="X9" s="2" t="inlineStr">
        <is>
          <t>None found</t>
        </is>
      </c>
      <c r="Y9" s="2" t="inlineStr">
        <is>
          <t>None found</t>
        </is>
      </c>
      <c r="Z9" s="2" t="inlineStr">
        <is>
          <t>Contact page and phone inquiries</t>
        </is>
      </c>
      <c r="AA9" s="2" t="inlineStr">
        <is>
          <t>Missed lead recovery</t>
        </is>
      </c>
      <c r="AB9" s="2" t="inlineStr">
        <is>
          <t>Low</t>
        </is>
      </c>
      <c r="AC9" s="2" t="inlineStr">
        <is>
          <t>Your site has a dedicated commercial solar page alongside its Fresno contact page.</t>
        </is>
      </c>
      <c r="AD9" s="2" t="inlineStr">
        <is>
          <t>Supports the missed lead recovery idea: Contact page and phone inquiries</t>
        </is>
      </c>
      <c r="AE9" s="2" t="inlineStr">
        <is>
          <t>I noticed your site has a dedicated commercial solar page alongside its Fresno contact page.</t>
        </is>
      </c>
      <c r="AF9" s="2" t="inlineStr">
        <is>
          <t>Solar lead follow up idea</t>
        </is>
      </c>
      <c r="AG9" s="2" t="inlineStr">
        <is>
          <t>Hi Ultimate Solar Pro Inc team,
I noticed your site has a dedicated commercial solar page alongside its Fresno contact page.
I work with businesses on AI and workflow automation. For a solar company like Ultimate Solar Pro Inc,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9" s="2" t="inlineStr">
        <is>
          <t>http://ultimatesolarpro.com/contact-us</t>
        </is>
      </c>
      <c r="AI9" s="2" t="inlineStr">
        <is>
          <t>Exact-match email search returns the company's contact page plus Yahoo Local and ENF listings; site has a /commercial page.</t>
        </is>
      </c>
      <c r="AJ9" s="2" t="inlineStr">
        <is>
          <t>Company website (contact page)</t>
        </is>
      </c>
      <c r="AK9" s="2" t="inlineStr">
        <is>
          <t>Medium</t>
        </is>
      </c>
      <c r="AL9" s="2" t="inlineStr">
        <is>
          <t>Ready</t>
        </is>
      </c>
      <c r="AM9" s="2" t="inlineStr">
        <is>
          <t>Not Sent</t>
        </is>
      </c>
      <c r="AN9" s="2" t="n"/>
      <c r="AO9" s="2" t="inlineStr">
        <is>
          <t>Batch 1 | Customer mix inferred from site pages.</t>
        </is>
      </c>
    </row>
    <row r="10">
      <c r="A10" s="2" t="inlineStr"/>
      <c r="B10" s="2" t="inlineStr">
        <is>
          <t>Positive Energy Solar</t>
        </is>
      </c>
      <c r="C10" s="2" t="inlineStr"/>
      <c r="D10" s="2" t="inlineStr"/>
      <c r="E10" s="2" t="inlineStr">
        <is>
          <t>info@positiveenergysolar.com</t>
        </is>
      </c>
      <c r="F10" s="2" t="inlineStr">
        <is>
          <t>United States</t>
        </is>
      </c>
      <c r="G10" s="2" t="inlineStr">
        <is>
          <t>New Mexico</t>
        </is>
      </c>
      <c r="H10" s="2" t="inlineStr">
        <is>
          <t>Santa Fe</t>
        </is>
      </c>
      <c r="I10" s="2" t="inlineStr">
        <is>
          <t>https://www.positiveenergysolar.com/</t>
        </is>
      </c>
      <c r="J10" s="2" t="inlineStr">
        <is>
          <t>Residential &amp; commercial solar installer</t>
        </is>
      </c>
      <c r="K10" s="2" t="inlineStr">
        <is>
          <t>Solar panel installation</t>
        </is>
      </c>
      <c r="L10" s="2" t="inlineStr">
        <is>
          <t>Residential &amp; Commercial</t>
        </is>
      </c>
      <c r="M10" s="2" t="inlineStr">
        <is>
          <t>Unknown</t>
        </is>
      </c>
      <c r="N10" s="2" t="inlineStr">
        <is>
          <t>Santa Fe and Albuquerque, New Mexico</t>
        </is>
      </c>
      <c r="O10" s="2" t="inlineStr">
        <is>
          <t>Unknown (Santa Fe and Albuquerque service areas)</t>
        </is>
      </c>
      <c r="P10" s="2" t="inlineStr">
        <is>
          <t>Unknown</t>
        </is>
      </c>
      <c r="Q10" s="2" t="inlineStr">
        <is>
          <t>Unknown</t>
        </is>
      </c>
      <c r="R10" s="2" t="inlineStr">
        <is>
          <t>Unknown</t>
        </is>
      </c>
      <c r="S10" s="2" t="inlineStr">
        <is>
          <t>Unknown</t>
        </is>
      </c>
      <c r="T10" s="2" t="inlineStr">
        <is>
          <t>Unknown</t>
        </is>
      </c>
      <c r="U10" s="2" t="inlineStr">
        <is>
          <t>Phone + email</t>
        </is>
      </c>
      <c r="V10" s="2" t="inlineStr">
        <is>
          <t>Website contact page; Facebook; LinkedIn</t>
        </is>
      </c>
      <c r="W10" s="2" t="inlineStr">
        <is>
          <t>None found</t>
        </is>
      </c>
      <c r="X10" s="2" t="inlineStr">
        <is>
          <t>In business since 1997; serves Santa Fe and Albuquerque</t>
        </is>
      </c>
      <c r="Y10" s="2" t="inlineStr">
        <is>
          <t>None found</t>
        </is>
      </c>
      <c r="Z10" s="2" t="inlineStr">
        <is>
          <t>Contact page inquiries</t>
        </is>
      </c>
      <c r="AA10" s="2" t="inlineStr">
        <is>
          <t>Lead routing</t>
        </is>
      </c>
      <c r="AB10" s="2" t="inlineStr">
        <is>
          <t>Medium</t>
        </is>
      </c>
      <c r="AC10" s="2" t="inlineStr">
        <is>
          <t>Your site has a dedicated Albuquerque service-area page on top of your Santa Fe presence.</t>
        </is>
      </c>
      <c r="AD10" s="2" t="inlineStr">
        <is>
          <t>Supports the lead routing idea: Contact page inquiries</t>
        </is>
      </c>
      <c r="AE10" s="2" t="inlineStr">
        <is>
          <t>I came across Positive Energy Solar and noticed your site has a dedicated Albuquerque service-area page on top of your Santa Fe presence.</t>
        </is>
      </c>
      <c r="AF10" s="2" t="inlineStr">
        <is>
          <t>Routing solar enquiries at Positive Energy Solar</t>
        </is>
      </c>
      <c r="AG10" s="2" t="inlineStr">
        <is>
          <t>Hi Positive Energy Solar team,
I came across Positive Energy Solar and noticed your site has a dedicated Albuquerque service-area page on top of your Santa Fe presence.
I work with businesses on AI and workflow automation. For a solar company like Positive Energy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0" s="2" t="inlineStr">
        <is>
          <t>https://www.positiveenergysolar.com/contact-us/</t>
        </is>
      </c>
      <c r="AI10" s="2" t="inlineStr">
        <is>
          <t>Domain search summary gave info@positiveenergysolar.com; the results included the company contact page. Employee-owned Benefit Corporation since 1997.</t>
        </is>
      </c>
      <c r="AJ10" s="2" t="inlineStr">
        <is>
          <t>Company website (contact page)</t>
        </is>
      </c>
      <c r="AK10" s="2" t="inlineStr">
        <is>
          <t>Medium</t>
        </is>
      </c>
      <c r="AL10" s="2" t="inlineStr">
        <is>
          <t>Review</t>
        </is>
      </c>
      <c r="AM10" s="2" t="inlineStr">
        <is>
          <t>Not Sent</t>
        </is>
      </c>
      <c r="AN10" s="2" t="n"/>
      <c r="AO10" s="2" t="inlineStr">
        <is>
          <t>Batch 1 | Exact-match email check not run (search budget ran out). | Email seen in search results but not independently corroborated; verify on website before sending.</t>
        </is>
      </c>
    </row>
    <row r="11">
      <c r="A11" s="2" t="inlineStr"/>
      <c r="B11" s="2" t="inlineStr">
        <is>
          <t>Sol Luna Solar</t>
        </is>
      </c>
      <c r="C11" s="2" t="inlineStr"/>
      <c r="D11" s="2" t="inlineStr"/>
      <c r="E11" s="2" t="inlineStr">
        <is>
          <t>info@sollunasolar.com</t>
        </is>
      </c>
      <c r="F11" s="2" t="inlineStr">
        <is>
          <t>United States</t>
        </is>
      </c>
      <c r="G11" s="2" t="inlineStr">
        <is>
          <t>New Mexico</t>
        </is>
      </c>
      <c r="H11" s="2" t="inlineStr">
        <is>
          <t>Dixon</t>
        </is>
      </c>
      <c r="I11" s="2" t="inlineStr">
        <is>
          <t>https://sollunasolar.com/</t>
        </is>
      </c>
      <c r="J11" s="2" t="inlineStr">
        <is>
          <t>Solar &amp; battery installer</t>
        </is>
      </c>
      <c r="K11" s="2" t="inlineStr">
        <is>
          <t>Solar installation, energy storage</t>
        </is>
      </c>
      <c r="L11" s="2" t="inlineStr">
        <is>
          <t>Residential &amp; Commercial</t>
        </is>
      </c>
      <c r="M11" s="2" t="inlineStr">
        <is>
          <t>Unknown</t>
        </is>
      </c>
      <c r="N11" s="2" t="inlineStr">
        <is>
          <t>Albuquerque, Santa Fe and Taos</t>
        </is>
      </c>
      <c r="O11" s="2" t="inlineStr">
        <is>
          <t>Unknown</t>
        </is>
      </c>
      <c r="P11" s="2" t="inlineStr">
        <is>
          <t>Unknown</t>
        </is>
      </c>
      <c r="Q11" s="2" t="inlineStr">
        <is>
          <t>Unknown</t>
        </is>
      </c>
      <c r="R11" s="2" t="inlineStr">
        <is>
          <t>Unknown</t>
        </is>
      </c>
      <c r="S11" s="2" t="inlineStr">
        <is>
          <t>Unknown</t>
        </is>
      </c>
      <c r="T11" s="2" t="inlineStr">
        <is>
          <t>Unknown</t>
        </is>
      </c>
      <c r="U11" s="2" t="inlineStr">
        <is>
          <t>Unknown</t>
        </is>
      </c>
      <c r="V11" s="2" t="inlineStr">
        <is>
          <t>Website contact page; Facebook</t>
        </is>
      </c>
      <c r="W11" s="2" t="inlineStr">
        <is>
          <t>Has a Marketing Manager and Project Manager (RocketReach)</t>
        </is>
      </c>
      <c r="X11" s="2" t="inlineStr">
        <is>
          <t>Serves three NM metro areas</t>
        </is>
      </c>
      <c r="Y11" s="2" t="inlineStr">
        <is>
          <t>None found</t>
        </is>
      </c>
      <c r="Z11" s="2" t="inlineStr">
        <is>
          <t>Contact page inquiries</t>
        </is>
      </c>
      <c r="AA11" s="2" t="inlineStr">
        <is>
          <t>Lead routing</t>
        </is>
      </c>
      <c r="AB11" s="2" t="inlineStr">
        <is>
          <t>Medium</t>
        </is>
      </c>
      <c r="AC11" s="2" t="inlineStr">
        <is>
          <t>Your site serves homeowners in Albuquerque, Santa Fe and Taos.</t>
        </is>
      </c>
      <c r="AD11" s="2" t="inlineStr">
        <is>
          <t>Supports the lead routing idea: Contact page inquiries</t>
        </is>
      </c>
      <c r="AE11" s="2" t="inlineStr">
        <is>
          <t>I noticed your site serves homeowners in Albuquerque, Santa Fe and Taos.</t>
        </is>
      </c>
      <c r="AF11" s="2" t="inlineStr">
        <is>
          <t>A lead routing idea for Sol Luna Solar</t>
        </is>
      </c>
      <c r="AG11" s="2" t="inlineStr">
        <is>
          <t>Hi Sol Luna Solar team,
I noticed your site serves homeowners in Albuquerque, Santa Fe and Taos.
I work with businesses on AI and workflow automation. For a solar company like Sol Luna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1" s="2" t="inlineStr">
        <is>
          <t>https://sollunasolar.com/contact/</t>
        </is>
      </c>
      <c r="AI11" s="2" t="inlineStr">
        <is>
          <t>Domain search summary gave info@sollunasolar.com; the results included the company contact page. Title: 'Local solar Installer | Albuquerque, Santa Fe, and Taos'.</t>
        </is>
      </c>
      <c r="AJ11" s="2" t="inlineStr">
        <is>
          <t>Company website (contact page)</t>
        </is>
      </c>
      <c r="AK11" s="2" t="inlineStr">
        <is>
          <t>Medium</t>
        </is>
      </c>
      <c r="AL11" s="2" t="inlineStr">
        <is>
          <t>Review</t>
        </is>
      </c>
      <c r="AM11" s="2" t="inlineStr">
        <is>
          <t>Not Sent</t>
        </is>
      </c>
      <c r="AN11" s="2" t="n"/>
      <c r="AO11" s="2" t="inlineStr">
        <is>
          <t>Batch 1 | Exact-match email check not run (search budget ran out). City from Facebook page title (Dixon NM). | Email seen in search results but not independently corroborated; verify on website before sending.</t>
        </is>
      </c>
    </row>
    <row r="12">
      <c r="A12" s="2" t="inlineStr"/>
      <c r="B12" s="2" t="inlineStr">
        <is>
          <t>Suncor Solar</t>
        </is>
      </c>
      <c r="C12" s="2" t="inlineStr"/>
      <c r="D12" s="2" t="inlineStr"/>
      <c r="E12" s="2" t="inlineStr">
        <is>
          <t>info@suncorsolar.com</t>
        </is>
      </c>
      <c r="F12" s="2" t="inlineStr">
        <is>
          <t>United States</t>
        </is>
      </c>
      <c r="G12" s="2" t="inlineStr">
        <is>
          <t>Florida</t>
        </is>
      </c>
      <c r="H12" s="2" t="inlineStr">
        <is>
          <t>Pensacola</t>
        </is>
      </c>
      <c r="I12" s="2" t="inlineStr">
        <is>
          <t>https://www.suncorsolar.com/</t>
        </is>
      </c>
      <c r="J12" s="2" t="inlineStr">
        <is>
          <t>Roofing + solar contractor</t>
        </is>
      </c>
      <c r="K12" s="2" t="inlineStr">
        <is>
          <t>Solar PV, roofing, solar incentive/tax credit guidance</t>
        </is>
      </c>
      <c r="L12" s="2" t="inlineStr">
        <is>
          <t>Residential &amp; Commercial</t>
        </is>
      </c>
      <c r="M12" s="2" t="inlineStr">
        <is>
          <t>Unknown</t>
        </is>
      </c>
      <c r="N12" s="2" t="inlineStr">
        <is>
          <t>Northwest Florida (Pensacola, Milton, Gulf Breeze, Navarre, Panama City, Lynn Haven)</t>
        </is>
      </c>
      <c r="O12" s="2" t="inlineStr">
        <is>
          <t>1 (Pensacola, FL)</t>
        </is>
      </c>
      <c r="P12" s="2" t="inlineStr">
        <is>
          <t>Yes</t>
        </is>
      </c>
      <c r="Q12" s="2" t="inlineStr">
        <is>
          <t>Unknown</t>
        </is>
      </c>
      <c r="R12" s="2" t="inlineStr">
        <is>
          <t>Unknown</t>
        </is>
      </c>
      <c r="S12" s="2" t="inlineStr">
        <is>
          <t>Unknown</t>
        </is>
      </c>
      <c r="T12" s="2" t="inlineStr">
        <is>
          <t>Unknown</t>
        </is>
      </c>
      <c r="U12" s="2" t="inlineStr">
        <is>
          <t>Phone + email</t>
        </is>
      </c>
      <c r="V12" s="2" t="inlineStr">
        <is>
          <t>Website; phone; Facebook</t>
        </is>
      </c>
      <c r="W12" s="2" t="inlineStr">
        <is>
          <t>ZoomInfo lists a Sales Manager, Sales Representative and Solar Consultant at Suncor Solar</t>
        </is>
      </c>
      <c r="X12" s="2" t="inlineStr">
        <is>
          <t>Serves multiple Northwest Florida cities</t>
        </is>
      </c>
      <c r="Y12" s="2" t="inlineStr">
        <is>
          <t>None found</t>
        </is>
      </c>
      <c r="Z12" s="2" t="inlineStr">
        <is>
          <t>Free quote request handled via phone/email with consultant follow-up</t>
        </is>
      </c>
      <c r="AA12" s="2" t="inlineStr">
        <is>
          <t>Lead routing</t>
        </is>
      </c>
      <c r="AB12" s="2" t="inlineStr">
        <is>
          <t>Medium</t>
        </is>
      </c>
      <c r="AC12" s="2" t="inlineStr">
        <is>
          <t>Your team serves homeowners and businesses from Pensacola to Panama City with both solar and roofing.</t>
        </is>
      </c>
      <c r="AD12" s="2" t="inlineStr">
        <is>
          <t>Supports the lead routing idea: Free quote request handled via phone/email with consultant follow-up</t>
        </is>
      </c>
      <c r="AE12" s="2" t="inlineStr">
        <is>
          <t>I was looking at your website and saw that your team serves homeowners and businesses from Pensacola to Panama City with both solar and roofing.</t>
        </is>
      </c>
      <c r="AF12" s="2" t="inlineStr">
        <is>
          <t>Routing solar enquiries at Suncor Solar</t>
        </is>
      </c>
      <c r="AG12" s="2" t="inlineStr">
        <is>
          <t>Hi Suncor Solar team,
I was looking at your website and saw that your team serves homeowners and businesses from Pensacola to Panama City with both solar and roofing.
I work with businesses on AI and workflow automation. For a solar company like Suncor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2" s="2" t="inlineStr">
        <is>
          <t>https://www.suncorsolar.com/</t>
        </is>
      </c>
      <c r="AI12" s="2" t="inlineStr">
        <is>
          <t>Search result for Florida free solar quotes listed Suncor Solar (info@suncorsolar.com, 850-530-7970) serving Pensacola to Panama City; offers solar and roofing.</t>
        </is>
      </c>
      <c r="AJ12" s="2" t="inlineStr">
        <is>
          <t>Company website (home page) + Crunchbase</t>
        </is>
      </c>
      <c r="AK12" s="2" t="inlineStr">
        <is>
          <t>Medium</t>
        </is>
      </c>
      <c r="AL12" s="2" t="inlineStr">
        <is>
          <t>Ready</t>
        </is>
      </c>
      <c r="AM12" s="2" t="inlineStr">
        <is>
          <t>Not Sent</t>
        </is>
      </c>
      <c r="AN12" s="2" t="n"/>
      <c r="AO12" s="2" t="inlineStr">
        <is>
          <t>Batch 1 | Email exact-match returned Crunchbase/ZoomInfo pages, not the company site; consultant/sales roles from ZoomInfo titles. | Email source: https://www.crunchbase.com/organization/suncor-solar</t>
        </is>
      </c>
    </row>
    <row r="13">
      <c r="A13" s="2" t="inlineStr"/>
      <c r="B13" s="2" t="inlineStr">
        <is>
          <t>SunVena Solar</t>
        </is>
      </c>
      <c r="C13" s="2" t="inlineStr"/>
      <c r="D13" s="2" t="inlineStr"/>
      <c r="E13" s="2" t="inlineStr">
        <is>
          <t>support@sunvena.com</t>
        </is>
      </c>
      <c r="F13" s="2" t="inlineStr">
        <is>
          <t>United States</t>
        </is>
      </c>
      <c r="G13" s="2" t="inlineStr">
        <is>
          <t>Florida</t>
        </is>
      </c>
      <c r="H13" s="2" t="inlineStr">
        <is>
          <t>Sanford</t>
        </is>
      </c>
      <c r="I13" s="2" t="inlineStr">
        <is>
          <t>https://sunvena.com/</t>
        </is>
      </c>
      <c r="J13" s="2" t="inlineStr">
        <is>
          <t>Residential solar installer</t>
        </is>
      </c>
      <c r="K13" s="2" t="inlineStr">
        <is>
          <t>Solar PV installation, energy advisors</t>
        </is>
      </c>
      <c r="L13" s="2" t="inlineStr">
        <is>
          <t>Residential</t>
        </is>
      </c>
      <c r="M13" s="2" t="inlineStr">
        <is>
          <t>Unknown</t>
        </is>
      </c>
      <c r="N13" s="2" t="inlineStr">
        <is>
          <t>Central Florida / Florida (Orlando area)</t>
        </is>
      </c>
      <c r="O13" s="2" t="inlineStr">
        <is>
          <t>1 (Sanford, FL)</t>
        </is>
      </c>
      <c r="P13" s="2" t="inlineStr">
        <is>
          <t>Yes</t>
        </is>
      </c>
      <c r="Q13" s="2" t="inlineStr">
        <is>
          <t>Unknown</t>
        </is>
      </c>
      <c r="R13" s="2" t="inlineStr">
        <is>
          <t>Unknown</t>
        </is>
      </c>
      <c r="S13" s="2" t="inlineStr">
        <is>
          <t>Yes</t>
        </is>
      </c>
      <c r="T13" s="2" t="inlineStr">
        <is>
          <t>Unknown</t>
        </is>
      </c>
      <c r="U13" s="2" t="inlineStr">
        <is>
          <t>Phone + email (support@)</t>
        </is>
      </c>
      <c r="V13" s="2" t="inlineStr">
        <is>
          <t>Website free solar estimate page; address confirmation step; phone</t>
        </is>
      </c>
      <c r="W13" s="2" t="inlineStr">
        <is>
          <t>Site has an 'Our Energy Advisors' team page</t>
        </is>
      </c>
      <c r="X13" s="2" t="inlineStr">
        <is>
          <t>City landing pages (e.g. Orlando solar company page)</t>
        </is>
      </c>
      <c r="Y13" s="2" t="inlineStr">
        <is>
          <t>Free quote flow includes a /confirm-address/ step before estimate</t>
        </is>
      </c>
      <c r="Z13" s="2" t="inlineStr">
        <is>
          <t>Online free-estimate form with address confirmation, then energy advisor follow-up</t>
        </is>
      </c>
      <c r="AA13" s="2" t="inlineStr">
        <is>
          <t>Quote follow up</t>
        </is>
      </c>
      <c r="AB13" s="2" t="inlineStr">
        <is>
          <t>High</t>
        </is>
      </c>
      <c r="AC13" s="2" t="inlineStr">
        <is>
          <t>Your site offers Florida residents a free solar estimate with an address-confirmation step.</t>
        </is>
      </c>
      <c r="AD13" s="2" t="inlineStr">
        <is>
          <t>Supports the quote follow up idea: Online free-estimate form with address confirmation, then energy advisor follow-up</t>
        </is>
      </c>
      <c r="AE13" s="2" t="inlineStr">
        <is>
          <t>I came across SunVena Solar and noticed your site offers Florida residents a free solar estimate with an address-confirmation step.</t>
        </is>
      </c>
      <c r="AF13" s="2" t="inlineStr">
        <is>
          <t>A solar quote follow up idea</t>
        </is>
      </c>
      <c r="AG13" s="2" t="inlineStr">
        <is>
          <t>Hi SunVena Solar team,
I came across SunVena Solar and noticed your site offers Florida residents a free solar estimate with an address-confirmation step.
I work with businesses on AI and workflow automation. For a solar company like SunVena Solar, after a quote goes out, a short sequence could check in by email or SMS, answer common questions and alert the salesperson when someone replies or opens it again.
Fewer quotes go quiet just because nobody had time to follow up.
Would it be useful if I showed you how this could work with your current setup?
Best,
[Sender Name]
AI Automation Specialist</t>
        </is>
      </c>
      <c r="AH13" s="2" t="inlineStr">
        <is>
          <t>https://sunvena.com/free-solar-quote/</t>
        </is>
      </c>
      <c r="AI13" s="2" t="inlineStr">
        <is>
          <t>Pages /free-solar-quote/, /confirm-address/, /contact-us/ (support@sunvena.com, 4005 Church St, Sanford FL); energy advisor team page.</t>
        </is>
      </c>
      <c r="AJ13" s="2" t="inlineStr">
        <is>
          <t>Company website (quote page)</t>
        </is>
      </c>
      <c r="AK13" s="2" t="inlineStr">
        <is>
          <t>High</t>
        </is>
      </c>
      <c r="AL13" s="2" t="inlineStr">
        <is>
          <t>Ready</t>
        </is>
      </c>
      <c r="AM13" s="2" t="inlineStr">
        <is>
          <t>Not Sent</t>
        </is>
      </c>
      <c r="AN13" s="2" t="n"/>
      <c r="AO13" s="2" t="inlineStr">
        <is>
          <t>Batch 1 | Email source: https://sunvena.com/contact-us/</t>
        </is>
      </c>
    </row>
    <row r="14">
      <c r="A14" s="2" t="inlineStr"/>
      <c r="B14" s="2" t="inlineStr">
        <is>
          <t>Inman Solar</t>
        </is>
      </c>
      <c r="C14" s="2" t="inlineStr"/>
      <c r="D14" s="2" t="inlineStr"/>
      <c r="E14" s="2" t="inlineStr">
        <is>
          <t>info@inmansolar.com</t>
        </is>
      </c>
      <c r="F14" s="2" t="inlineStr">
        <is>
          <t>United States</t>
        </is>
      </c>
      <c r="G14" s="2" t="inlineStr">
        <is>
          <t>Georgia</t>
        </is>
      </c>
      <c r="H14" s="2" t="inlineStr">
        <is>
          <t>Atlanta</t>
        </is>
      </c>
      <c r="I14" s="2" t="inlineStr">
        <is>
          <t>https://www.inmansolar.com/</t>
        </is>
      </c>
      <c r="J14" s="2" t="inlineStr">
        <is>
          <t>Commercial solar EPC</t>
        </is>
      </c>
      <c r="K14" s="2" t="inlineStr">
        <is>
          <t>Engineering, procurement and construction of solar farms (1-50 MW)</t>
        </is>
      </c>
      <c r="L14" s="2" t="inlineStr">
        <is>
          <t>Commercial &amp; Utility-scale</t>
        </is>
      </c>
      <c r="M14" s="2" t="inlineStr">
        <is>
          <t>Unknown</t>
        </is>
      </c>
      <c r="N14" s="2" t="inlineStr">
        <is>
          <t>Eastern United States</t>
        </is>
      </c>
      <c r="O14" s="2" t="inlineStr">
        <is>
          <t>1 (Atlanta, GA)</t>
        </is>
      </c>
      <c r="P14" s="2" t="inlineStr">
        <is>
          <t>Unknown</t>
        </is>
      </c>
      <c r="Q14" s="2" t="inlineStr">
        <is>
          <t>Unknown</t>
        </is>
      </c>
      <c r="R14" s="2" t="inlineStr">
        <is>
          <t>Unknown</t>
        </is>
      </c>
      <c r="S14" s="2" t="inlineStr">
        <is>
          <t>Unknown</t>
        </is>
      </c>
      <c r="T14" s="2" t="inlineStr">
        <is>
          <t>Unknown</t>
        </is>
      </c>
      <c r="U14" s="2" t="inlineStr">
        <is>
          <t>Phone + email</t>
        </is>
      </c>
      <c r="V14" s="2" t="inlineStr">
        <is>
          <t>Website; LinkedIn; Facebook; news page</t>
        </is>
      </c>
      <c r="W14" s="2" t="inlineStr">
        <is>
          <t>None found</t>
        </is>
      </c>
      <c r="X14" s="2" t="inlineStr">
        <is>
          <t>Projects page; builds 1-50 MW solar farms across the eastern US</t>
        </is>
      </c>
      <c r="Y14" s="2" t="inlineStr">
        <is>
          <t>EPC projects imply multi-stage proposal/engineering process</t>
        </is>
      </c>
      <c r="Z14" s="2" t="inlineStr">
        <is>
          <t>Inbound EPC inquiries via info@ email and phone</t>
        </is>
      </c>
      <c r="AA14" s="2" t="inlineStr">
        <is>
          <t>Document processing</t>
        </is>
      </c>
      <c r="AB14" s="2" t="inlineStr">
        <is>
          <t>Low</t>
        </is>
      </c>
      <c r="AC14" s="2" t="inlineStr">
        <is>
          <t>Your team builds 1-50 MW solar farms across the eastern US from your Atlanta HQ.</t>
        </is>
      </c>
      <c r="AD14" s="2" t="inlineStr">
        <is>
          <t>Supports the document processing idea: Inbound EPC inquiries via info@ email and phone</t>
        </is>
      </c>
      <c r="AE14" s="2" t="inlineStr">
        <is>
          <t>I noticed your team builds 1-50 MW solar farms across the eastern US from your Atlanta HQ.</t>
        </is>
      </c>
      <c r="AF14" s="2" t="inlineStr">
        <is>
          <t>Solar paperwork at Inman Solar</t>
        </is>
      </c>
      <c r="AG14" s="2" t="inlineStr">
        <is>
          <t>Hi Inman Solar team,
I noticed your team builds 1-50 MW solar farms across the eastern US from your Atlanta HQ.
I work with businesses on AI and workflow automation. For a solar company like Inman Solar, documents like utility bills, finance applications and site survey forms could be read automatically and the key details sent into your system.
It removes a lot of manual checking and retyping.
Would it be useful if I showed you how this could work with your current setup?
Best,
[Sender Name]
AI Automation Specialist</t>
        </is>
      </c>
      <c r="AH14" s="2" t="inlineStr">
        <is>
          <t>https://www.inmansolar.com/</t>
        </is>
      </c>
      <c r="AI14" s="2" t="inlineStr">
        <is>
          <t>Exact-match search for info@inmansolar.com returned inmansolar.com pages; EPC for 1-50 MW solar farms; 320 North Highland Ave NE, Atlanta.</t>
        </is>
      </c>
      <c r="AJ14" s="2" t="inlineStr">
        <is>
          <t>Company website (home page)</t>
        </is>
      </c>
      <c r="AK14" s="2" t="inlineStr">
        <is>
          <t>High</t>
        </is>
      </c>
      <c r="AL14" s="2" t="inlineStr">
        <is>
          <t>Ready</t>
        </is>
      </c>
      <c r="AM14" s="2" t="inlineStr">
        <is>
          <t>Not Sent</t>
        </is>
      </c>
      <c r="AN14" s="2" t="n"/>
      <c r="AO14" s="2" t="inlineStr">
        <is>
          <t>Batch 1 | B2B EPC rather than residential lead-gen.</t>
        </is>
      </c>
    </row>
    <row r="15">
      <c r="A15" s="2" t="inlineStr"/>
      <c r="B15" s="2" t="inlineStr">
        <is>
          <t>Suncatcher of Atlanta</t>
        </is>
      </c>
      <c r="C15" s="2" t="inlineStr"/>
      <c r="D15" s="2" t="inlineStr"/>
      <c r="E15" s="2" t="inlineStr">
        <is>
          <t>info@suncatcherofatlanta.com</t>
        </is>
      </c>
      <c r="F15" s="2" t="inlineStr">
        <is>
          <t>United States</t>
        </is>
      </c>
      <c r="G15" s="2" t="inlineStr">
        <is>
          <t>Georgia</t>
        </is>
      </c>
      <c r="H15" s="2" t="inlineStr">
        <is>
          <t>Marietta</t>
        </is>
      </c>
      <c r="I15" s="2" t="inlineStr">
        <is>
          <t>https://suncatcherofatlanta.com/</t>
        </is>
      </c>
      <c r="J15" s="2" t="inlineStr">
        <is>
          <t>Residential &amp; commercial solar installer</t>
        </is>
      </c>
      <c r="K15" s="2" t="inlineStr">
        <is>
          <t>Solar PV, battery &amp; EV charging, solar pool heating, solar hot water, roofing, screen enclosures</t>
        </is>
      </c>
      <c r="L15" s="2" t="inlineStr">
        <is>
          <t>Residential &amp; Commercial</t>
        </is>
      </c>
      <c r="M15" s="2" t="inlineStr">
        <is>
          <t>Unknown</t>
        </is>
      </c>
      <c r="N15" s="2" t="inlineStr">
        <is>
          <t>Metro Atlanta</t>
        </is>
      </c>
      <c r="O15" s="2" t="inlineStr">
        <is>
          <t>1 (Marietta, GA)</t>
        </is>
      </c>
      <c r="P15" s="2" t="inlineStr">
        <is>
          <t>Unknown</t>
        </is>
      </c>
      <c r="Q15" s="2" t="inlineStr">
        <is>
          <t>Unknown</t>
        </is>
      </c>
      <c r="R15" s="2" t="inlineStr">
        <is>
          <t>Unknown</t>
        </is>
      </c>
      <c r="S15" s="2" t="inlineStr">
        <is>
          <t>Unknown</t>
        </is>
      </c>
      <c r="T15" s="2" t="inlineStr">
        <is>
          <t>Unknown</t>
        </is>
      </c>
      <c r="U15" s="2" t="inlineStr">
        <is>
          <t>Phone + email</t>
        </is>
      </c>
      <c r="V15" s="2" t="inlineStr">
        <is>
          <t>Website contact page; phone</t>
        </is>
      </c>
      <c r="W15" s="2" t="inlineStr">
        <is>
          <t>None found</t>
        </is>
      </c>
      <c r="X15" s="2" t="inlineStr">
        <is>
          <t>Multiple service lines (solar electric, hot water, pool heating, roofing, enclosures)</t>
        </is>
      </c>
      <c r="Y15" s="2" t="inlineStr">
        <is>
          <t>None found</t>
        </is>
      </c>
      <c r="Z15" s="2" t="inlineStr">
        <is>
          <t>Contact page + phone inquiries during limited office hours (Mon-Fri 9am-3pm per summary)</t>
        </is>
      </c>
      <c r="AA15" s="2" t="inlineStr">
        <is>
          <t>Missed lead recovery</t>
        </is>
      </c>
      <c r="AB15" s="2" t="inlineStr">
        <is>
          <t>Medium</t>
        </is>
      </c>
      <c r="AC15" s="2" t="inlineStr">
        <is>
          <t>Your company offers solar hot water and solar pool heating alongside residential solar electric.</t>
        </is>
      </c>
      <c r="AD15" s="2" t="inlineStr">
        <is>
          <t>Supports the missed lead recovery idea: Contact page + phone inquiries during limited office hours (Mon-Fri 9am-3pm per summary)</t>
        </is>
      </c>
      <c r="AE15" s="2" t="inlineStr">
        <is>
          <t>I was looking at your website and saw that your company offers solar hot water and solar pool heating alongside residential solar electric.</t>
        </is>
      </c>
      <c r="AF15" s="2" t="inlineStr">
        <is>
          <t>Solar lead follow up idea</t>
        </is>
      </c>
      <c r="AG15" s="2" t="inlineStr">
        <is>
          <t>Hi Suncatcher of Atlanta team,
I was looking at your website and saw that your company offers solar hot water and solar pool heating alongside residential solar electric.
I work with businesses on AI and workflow automation. For a solar company like Suncatcher of Atlanta,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15" s="2" t="inlineStr">
        <is>
          <t>https://suncatcherofatlanta.com/contact-us/</t>
        </is>
      </c>
      <c r="AI15" s="2" t="inlineStr">
        <is>
          <t>Site pages for residential/commercial solar electric, solar hot water, roofing, screen enclosures; contact page lists info@ and 1349 Old 41 Hwy, Marietta.</t>
        </is>
      </c>
      <c r="AJ15" s="2" t="inlineStr">
        <is>
          <t>Company website (contact page)</t>
        </is>
      </c>
      <c r="AK15" s="2" t="inlineStr">
        <is>
          <t>High</t>
        </is>
      </c>
      <c r="AL15" s="2" t="inlineStr">
        <is>
          <t>Ready</t>
        </is>
      </c>
      <c r="AM15" s="2" t="inlineStr">
        <is>
          <t>Not Sent</t>
        </is>
      </c>
      <c r="AN15" s="2" t="n"/>
      <c r="AO15" s="2" t="inlineStr">
        <is>
          <t>Batch 1 | Office hours from search summary only.</t>
        </is>
      </c>
    </row>
    <row r="16">
      <c r="A16" s="2" t="inlineStr"/>
      <c r="B16" s="2" t="inlineStr">
        <is>
          <t>8MSolar</t>
        </is>
      </c>
      <c r="C16" s="2" t="inlineStr"/>
      <c r="D16" s="2" t="inlineStr"/>
      <c r="E16" s="2" t="inlineStr">
        <is>
          <t>sales@8msolar.com</t>
        </is>
      </c>
      <c r="F16" s="2" t="inlineStr">
        <is>
          <t>United States</t>
        </is>
      </c>
      <c r="G16" s="2" t="inlineStr">
        <is>
          <t>North Carolina</t>
        </is>
      </c>
      <c r="H16" s="2" t="inlineStr">
        <is>
          <t>Raleigh</t>
        </is>
      </c>
      <c r="I16" s="2" t="inlineStr">
        <is>
          <t>https://8msolar.com/</t>
        </is>
      </c>
      <c r="J16" s="2" t="inlineStr">
        <is>
          <t>Residential &amp; commercial solar installer</t>
        </is>
      </c>
      <c r="K16" s="2" t="inlineStr">
        <is>
          <t>Solar PV, commercial solar</t>
        </is>
      </c>
      <c r="L16" s="2" t="inlineStr">
        <is>
          <t>Residential &amp; Commercial</t>
        </is>
      </c>
      <c r="M16" s="2" t="inlineStr">
        <is>
          <t>Unknown</t>
        </is>
      </c>
      <c r="N16" s="2" t="inlineStr">
        <is>
          <t>North Carolina and Virginia</t>
        </is>
      </c>
      <c r="O16" s="2" t="inlineStr">
        <is>
          <t>Multiple (Raleigh, Wake Forest, Cary NC per summary)</t>
        </is>
      </c>
      <c r="P16" s="2" t="inlineStr">
        <is>
          <t>Unknown</t>
        </is>
      </c>
      <c r="Q16" s="2" t="inlineStr">
        <is>
          <t>Unknown</t>
        </is>
      </c>
      <c r="R16" s="2" t="inlineStr">
        <is>
          <t>Unknown</t>
        </is>
      </c>
      <c r="S16" s="2" t="inlineStr">
        <is>
          <t>Unknown</t>
        </is>
      </c>
      <c r="T16" s="2" t="inlineStr">
        <is>
          <t>Unknown</t>
        </is>
      </c>
      <c r="U16" s="2" t="inlineStr">
        <is>
          <t>Phone + email</t>
        </is>
      </c>
      <c r="V16" s="2" t="inlineStr">
        <is>
          <t>Website contact page; city landing pages; blog</t>
        </is>
      </c>
      <c r="W16" s="2" t="inlineStr">
        <is>
          <t>RocketReach lists a Director of Residential Sales; sales@ inbox</t>
        </is>
      </c>
      <c r="X16" s="2" t="inlineStr">
        <is>
          <t>Serves NC and VA; multiple NC locations</t>
        </is>
      </c>
      <c r="Y16" s="2" t="inlineStr">
        <is>
          <t>None found</t>
        </is>
      </c>
      <c r="Z16" s="2" t="inlineStr">
        <is>
          <t>Sales inbox + contact form handled by residential sales team</t>
        </is>
      </c>
      <c r="AA16" s="2" t="inlineStr">
        <is>
          <t>Lead qualification chatbot</t>
        </is>
      </c>
      <c r="AB16" s="2" t="inlineStr">
        <is>
          <t>High</t>
        </is>
      </c>
      <c r="AC16" s="2" t="inlineStr">
        <is>
          <t>Your company installs residential and commercial solar across North Carolina and Virginia.</t>
        </is>
      </c>
      <c r="AD16" s="2" t="inlineStr">
        <is>
          <t>Supports the lead qualification chatbot idea: Sales inbox + contact form handled by residential sales team</t>
        </is>
      </c>
      <c r="AE16" s="2" t="inlineStr">
        <is>
          <t>I came across 8MSolar and noticed your company installs residential and commercial solar across North Carolina and Virginia.</t>
        </is>
      </c>
      <c r="AF16" s="2" t="inlineStr">
        <is>
          <t>Qualifying solar enquiries at 8MSolar</t>
        </is>
      </c>
      <c r="AG16" s="2" t="inlineStr">
        <is>
          <t>Hi 8MSolar team,
I came across 8MSolar and noticed your company installs residential and commercial solar across North Carolina and Virginia.
I work with businesses on AI and workflow automation. For a solar company like 8MSolar,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6" s="2" t="inlineStr">
        <is>
          <t>https://8msolar.com/contact/</t>
        </is>
      </c>
      <c r="AI16" s="2" t="inlineStr">
        <is>
          <t>Exact-match search for sales@8msolar.com returned 8msolar.com/contact/; site title 'Solar Panel Company and Installer In North Carolina and Virginia'; Director of Residential Sales profile.</t>
        </is>
      </c>
      <c r="AJ16" s="2" t="inlineStr">
        <is>
          <t>Company website (contact page)</t>
        </is>
      </c>
      <c r="AK16" s="2" t="inlineStr">
        <is>
          <t>High</t>
        </is>
      </c>
      <c r="AL16" s="2" t="inlineStr">
        <is>
          <t>Ready</t>
        </is>
      </c>
      <c r="AM16" s="2" t="inlineStr">
        <is>
          <t>Not Sent</t>
        </is>
      </c>
      <c r="AN16" s="2" t="n"/>
      <c r="AO16" s="2" t="inlineStr">
        <is>
          <t>Batch 1 | HQ address conflicts in sources (Cary vs Raleigh).</t>
        </is>
      </c>
    </row>
    <row r="17">
      <c r="A17" s="2" t="inlineStr"/>
      <c r="B17" s="2" t="inlineStr">
        <is>
          <t>Southern Energy Management</t>
        </is>
      </c>
      <c r="C17" s="2" t="inlineStr"/>
      <c r="D17" s="2" t="inlineStr"/>
      <c r="E17" s="2" t="inlineStr">
        <is>
          <t>info@southern-energy.com</t>
        </is>
      </c>
      <c r="F17" s="2" t="inlineStr">
        <is>
          <t>United States</t>
        </is>
      </c>
      <c r="G17" s="2" t="inlineStr">
        <is>
          <t>North Carolina</t>
        </is>
      </c>
      <c r="H17" s="2" t="inlineStr">
        <is>
          <t>Raleigh</t>
        </is>
      </c>
      <c r="I17" s="2" t="inlineStr">
        <is>
          <t>https://southern-energy.com/</t>
        </is>
      </c>
      <c r="J17" s="2" t="inlineStr">
        <is>
          <t>Solar &amp; battery installer</t>
        </is>
      </c>
      <c r="K17" s="2" t="inlineStr">
        <is>
          <t>Rooftop solar, battery storage (Tesla Powerwall), SPAN panels, building performance</t>
        </is>
      </c>
      <c r="L17" s="2" t="inlineStr">
        <is>
          <t>Residential &amp; Commercial</t>
        </is>
      </c>
      <c r="M17" s="2" t="inlineStr">
        <is>
          <t>3,500+ solar installations since 2001 (per search summary)</t>
        </is>
      </c>
      <c r="N17" s="2" t="inlineStr">
        <is>
          <t>North Carolina and South Carolina</t>
        </is>
      </c>
      <c r="O17" s="2" t="inlineStr">
        <is>
          <t>1 (Raleigh, NC)</t>
        </is>
      </c>
      <c r="P17" s="2" t="inlineStr">
        <is>
          <t>Unknown</t>
        </is>
      </c>
      <c r="Q17" s="2" t="inlineStr">
        <is>
          <t>Unknown</t>
        </is>
      </c>
      <c r="R17" s="2" t="inlineStr">
        <is>
          <t>Unknown</t>
        </is>
      </c>
      <c r="S17" s="2" t="inlineStr">
        <is>
          <t>Unknown</t>
        </is>
      </c>
      <c r="T17" s="2" t="inlineStr">
        <is>
          <t>Unknown</t>
        </is>
      </c>
      <c r="U17" s="2" t="inlineStr">
        <is>
          <t>Service/maintenance team (techsupport@ address)</t>
        </is>
      </c>
      <c r="V17" s="2" t="inlineStr">
        <is>
          <t>Website 'Let's Chat' contact page; referral program; events</t>
        </is>
      </c>
      <c r="W17" s="2" t="inlineStr">
        <is>
          <t>None found</t>
        </is>
      </c>
      <c r="X17" s="2" t="inlineStr">
        <is>
          <t>3,500+ installs across NC and SC (summary)</t>
        </is>
      </c>
      <c r="Y17" s="2" t="inlineStr">
        <is>
          <t>Solar referral program (shine@)</t>
        </is>
      </c>
      <c r="Z17" s="2" t="inlineStr">
        <is>
          <t>Contact page + referral program handled by email</t>
        </is>
      </c>
      <c r="AA17" s="2" t="inlineStr">
        <is>
          <t>Review request automation</t>
        </is>
      </c>
      <c r="AB17" s="2" t="inlineStr">
        <is>
          <t>Medium</t>
        </is>
      </c>
      <c r="AC17" s="2" t="inlineStr">
        <is>
          <t>Your company runs a solar referral program for past customers.</t>
        </is>
      </c>
      <c r="AD17" s="2" t="inlineStr">
        <is>
          <t>Supports the review request automation idea: Contact page + referral program handled by email</t>
        </is>
      </c>
      <c r="AE17" s="2" t="inlineStr">
        <is>
          <t>I noticed your company runs a solar referral program for past customers.</t>
        </is>
      </c>
      <c r="AF17" s="2" t="inlineStr">
        <is>
          <t>An idea for Southern Energy Management reviews</t>
        </is>
      </c>
      <c r="AG17" s="2" t="inlineStr">
        <is>
          <t>Hi Southern Energy Management team,
I noticed your company runs a solar referral program for past customers.
I work with businesses on AI and workflow automation. For a solar company like Southern Energy Management, after each install, customers could get a timed review request by email or SMS, with a reminder if they don't respond.
It builds steady reviews without anyone needing to remember to ask.
Would it be useful if I showed you how this could work with your current setup?
Best,
[Sender Name]
AI Automation Specialist</t>
        </is>
      </c>
      <c r="AH17" s="2" t="inlineStr">
        <is>
          <t>https://southern-energy.com/solar-referral-program/</t>
        </is>
      </c>
      <c r="AI17" s="2" t="inlineStr">
        <is>
          <t>Exact-match search returned southern-energy.com contact/about/events pages; referral program page; 5908 Triangle Drive, Raleigh.</t>
        </is>
      </c>
      <c r="AJ17" s="2" t="inlineStr">
        <is>
          <t>Company website (contact page)</t>
        </is>
      </c>
      <c r="AK17" s="2" t="inlineStr">
        <is>
          <t>High</t>
        </is>
      </c>
      <c r="AL17" s="2" t="inlineStr">
        <is>
          <t>Ready</t>
        </is>
      </c>
      <c r="AM17" s="2" t="inlineStr">
        <is>
          <t>Not Sent</t>
        </is>
      </c>
      <c r="AN17" s="2" t="n"/>
      <c r="AO17" s="2" t="inlineStr">
        <is>
          <t>Batch 1 | Install count from summary only. | Email source: https://southern-energy.com/contact/</t>
        </is>
      </c>
    </row>
    <row r="18">
      <c r="A18" s="2" t="inlineStr"/>
      <c r="B18" s="2" t="inlineStr">
        <is>
          <t>NC Solar Now</t>
        </is>
      </c>
      <c r="C18" s="2" t="inlineStr"/>
      <c r="D18" s="2" t="inlineStr"/>
      <c r="E18" s="2" t="inlineStr">
        <is>
          <t>hello@ncsolarnow.com</t>
        </is>
      </c>
      <c r="F18" s="2" t="inlineStr">
        <is>
          <t>United States</t>
        </is>
      </c>
      <c r="G18" s="2" t="inlineStr">
        <is>
          <t>North Carolina</t>
        </is>
      </c>
      <c r="H18" s="2" t="inlineStr">
        <is>
          <t>Raleigh</t>
        </is>
      </c>
      <c r="I18" s="2" t="inlineStr">
        <is>
          <t>https://ncsolarnow.com/</t>
        </is>
      </c>
      <c r="J18" s="2" t="inlineStr">
        <is>
          <t>Solar &amp; battery installer</t>
        </is>
      </c>
      <c r="K18" s="2" t="inlineStr">
        <is>
          <t>Solar PV, battery backup, EV charging stations</t>
        </is>
      </c>
      <c r="L18" s="2" t="inlineStr">
        <is>
          <t>Residential &amp; Commercial</t>
        </is>
      </c>
      <c r="M18" s="2" t="inlineStr">
        <is>
          <t>Unknown</t>
        </is>
      </c>
      <c r="N18" s="2" t="inlineStr">
        <is>
          <t>North Carolina</t>
        </is>
      </c>
      <c r="O18" s="2" t="inlineStr">
        <is>
          <t>1 (Raleigh, NC)</t>
        </is>
      </c>
      <c r="P18" s="2" t="inlineStr">
        <is>
          <t>Unknown</t>
        </is>
      </c>
      <c r="Q18" s="2" t="inlineStr">
        <is>
          <t>Unknown</t>
        </is>
      </c>
      <c r="R18" s="2" t="inlineStr">
        <is>
          <t>Unknown</t>
        </is>
      </c>
      <c r="S18" s="2" t="inlineStr">
        <is>
          <t>Unknown</t>
        </is>
      </c>
      <c r="T18" s="2" t="inlineStr">
        <is>
          <t>Unknown</t>
        </is>
      </c>
      <c r="U18" s="2" t="inlineStr">
        <is>
          <t>Phone + email</t>
        </is>
      </c>
      <c r="V18" s="2" t="inlineStr">
        <is>
          <t>Website contact page; blog; Facebook; Nextdoor</t>
        </is>
      </c>
      <c r="W18" s="2" t="inlineStr">
        <is>
          <t>None found</t>
        </is>
      </c>
      <c r="X18" s="2" t="inlineStr">
        <is>
          <t>Operating since 2009 (summary)</t>
        </is>
      </c>
      <c r="Y18" s="2" t="inlineStr">
        <is>
          <t>None found</t>
        </is>
      </c>
      <c r="Z18" s="2" t="inlineStr">
        <is>
          <t>Contact page + phone inquiries</t>
        </is>
      </c>
      <c r="AA18" s="2" t="inlineStr">
        <is>
          <t>Email follow up</t>
        </is>
      </c>
      <c r="AB18" s="2" t="inlineStr">
        <is>
          <t>Medium</t>
        </is>
      </c>
      <c r="AC18" s="2" t="inlineStr">
        <is>
          <t>Your company installs solar with battery backup for North Carolina homeowners from Raleigh.</t>
        </is>
      </c>
      <c r="AD18" s="2" t="inlineStr">
        <is>
          <t>Supports the email follow up idea: Contact page + phone inquiries</t>
        </is>
      </c>
      <c r="AE18" s="2" t="inlineStr">
        <is>
          <t>I was looking at your website and saw that your company installs solar with battery backup for North Carolina homeowners from Raleigh.</t>
        </is>
      </c>
      <c r="AF18" s="2" t="inlineStr">
        <is>
          <t>Email follow up at NC Solar Now</t>
        </is>
      </c>
      <c r="AG18" s="2" t="inlineStr">
        <is>
          <t>Hi NC Solar Now team,
I was looking at your website and saw that your company installs solar with battery backup for North Carolina homeowners from Raleigh.
I work with businesses on AI and workflow automation. For a solar company like NC Solar Now, a short email sequence could follow up on each enquiry, share relevant info on panels, batteries or financing, and hand warm replies to your team.
It keeps leads engaged without extra manual emails.
Would it be useful if I showed you how this could work with your current setup?
Best,
[Sender Name]
AI Automation Specialist</t>
        </is>
      </c>
      <c r="AH18" s="2" t="inlineStr">
        <is>
          <t>https://ncsolarnow.com/contact-us/</t>
        </is>
      </c>
      <c r="AI18" s="2" t="inlineStr">
        <is>
          <t>Exact-match search returned ncsolarnow.com contact page and Nextdoor/Facebook listings; 2509 Atlantic Ave Raleigh; site title mentions battery backup.</t>
        </is>
      </c>
      <c r="AJ18" s="2" t="inlineStr">
        <is>
          <t>Company website (contact page)</t>
        </is>
      </c>
      <c r="AK18" s="2" t="inlineStr">
        <is>
          <t>High</t>
        </is>
      </c>
      <c r="AL18" s="2" t="inlineStr">
        <is>
          <t>Ready</t>
        </is>
      </c>
      <c r="AM18" s="2" t="inlineStr">
        <is>
          <t>Not Sent</t>
        </is>
      </c>
      <c r="AN18" s="2" t="n"/>
      <c r="AO18" s="2" t="inlineStr">
        <is>
          <t>Batch 1</t>
        </is>
      </c>
    </row>
    <row r="19">
      <c r="A19" s="2" t="inlineStr"/>
      <c r="B19" s="2" t="inlineStr">
        <is>
          <t>Wiring Solutions Plus</t>
        </is>
      </c>
      <c r="C19" s="2" t="inlineStr"/>
      <c r="D19" s="2" t="inlineStr"/>
      <c r="E19" s="2" t="inlineStr">
        <is>
          <t>info@wiringsolutionsplus.com</t>
        </is>
      </c>
      <c r="F19" s="2" t="inlineStr">
        <is>
          <t>United States</t>
        </is>
      </c>
      <c r="G19" s="2" t="inlineStr">
        <is>
          <t>North Carolina</t>
        </is>
      </c>
      <c r="H19" s="2" t="inlineStr">
        <is>
          <t>Raleigh</t>
        </is>
      </c>
      <c r="I19" s="2" t="inlineStr">
        <is>
          <t>https://www.wiringsolutionsplus.com/</t>
        </is>
      </c>
      <c r="J19" s="2" t="inlineStr">
        <is>
          <t>Residential &amp; commercial solar installer</t>
        </is>
      </c>
      <c r="K19" s="2" t="inlineStr">
        <is>
          <t>Solar PV, battery storage, EV chargers, generators, electrical services</t>
        </is>
      </c>
      <c r="L19" s="2" t="inlineStr">
        <is>
          <t>Residential &amp; Commercial</t>
        </is>
      </c>
      <c r="M19" s="2" t="inlineStr">
        <is>
          <t>Unknown</t>
        </is>
      </c>
      <c r="N19" s="2" t="inlineStr">
        <is>
          <t>Raleigh, NC area</t>
        </is>
      </c>
      <c r="O19" s="2" t="inlineStr">
        <is>
          <t>1 (Raleigh, NC)</t>
        </is>
      </c>
      <c r="P19" s="2" t="inlineStr">
        <is>
          <t>Unknown</t>
        </is>
      </c>
      <c r="Q19" s="2" t="inlineStr">
        <is>
          <t>Unknown</t>
        </is>
      </c>
      <c r="R19" s="2" t="inlineStr">
        <is>
          <t>Unknown</t>
        </is>
      </c>
      <c r="S19" s="2" t="inlineStr">
        <is>
          <t>Unknown</t>
        </is>
      </c>
      <c r="T19" s="2" t="inlineStr">
        <is>
          <t>Unknown</t>
        </is>
      </c>
      <c r="U19" s="2" t="inlineStr">
        <is>
          <t>Phone + email</t>
        </is>
      </c>
      <c r="V19" s="2" t="inlineStr">
        <is>
          <t>Website contact page; Yelp; Facebook</t>
        </is>
      </c>
      <c r="W19" s="2" t="inlineStr">
        <is>
          <t>Careers page recruiting solar &amp; electrical roles</t>
        </is>
      </c>
      <c r="X19" s="2" t="inlineStr">
        <is>
          <t>None found</t>
        </is>
      </c>
      <c r="Y19" s="2" t="inlineStr">
        <is>
          <t>None found</t>
        </is>
      </c>
      <c r="Z19" s="2" t="inlineStr">
        <is>
          <t>Contact page + phone booking for solar and electrical jobs</t>
        </is>
      </c>
      <c r="AA19" s="2" t="inlineStr">
        <is>
          <t>Appointment booking automation</t>
        </is>
      </c>
      <c r="AB19" s="2" t="inlineStr">
        <is>
          <t>Medium</t>
        </is>
      </c>
      <c r="AC19" s="2" t="inlineStr">
        <is>
          <t>Your company is a certified installer for Tesla, FranklinWH, Enphase and SolarEdge in Raleigh.</t>
        </is>
      </c>
      <c r="AD19" s="2" t="inlineStr">
        <is>
          <t>Supports the appointment booking automation idea: Contact page + phone booking for solar and electrical jobs</t>
        </is>
      </c>
      <c r="AE19" s="2" t="inlineStr">
        <is>
          <t>I came across Wiring Solutions Plus and noticed your company is a certified installer for Tesla, FranklinWH, Enphase and SolarEdge in Raleigh.</t>
        </is>
      </c>
      <c r="AF19" s="2" t="inlineStr">
        <is>
          <t>Solar appointment follow up</t>
        </is>
      </c>
      <c r="AG19" s="2" t="inlineStr">
        <is>
          <t>Hi Wiring Solutions Plus team,
I came across Wiring Solutions Plus and noticed your company is a certified installer for Tesla, FranklinWH, Enphase and SolarEdge in Raleigh.
I work with businesses on AI and workflow automation. For a solar company like Wiring Solutions Plus,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19" s="2" t="inlineStr">
        <is>
          <t>https://www.wiringsolutionsplus.com/contact-us</t>
        </is>
      </c>
      <c r="AI19" s="2" t="inlineStr">
        <is>
          <t>Exact-match search returned wiringsolutionsplus.com pages; pages for residential, commercial, battery storage, careers; 4724 Hargrove Rd Raleigh.</t>
        </is>
      </c>
      <c r="AJ19" s="2" t="inlineStr">
        <is>
          <t>Company website (contact page)</t>
        </is>
      </c>
      <c r="AK19" s="2" t="inlineStr">
        <is>
          <t>High</t>
        </is>
      </c>
      <c r="AL19" s="2" t="inlineStr">
        <is>
          <t>Ready</t>
        </is>
      </c>
      <c r="AM19" s="2" t="inlineStr">
        <is>
          <t>Not Sent</t>
        </is>
      </c>
      <c r="AN19" s="2" t="n"/>
      <c r="AO19" s="2" t="inlineStr">
        <is>
          <t>Batch 1 | Certifications from search summary. | Email source: https://www.wiringsolutionsplus.com/</t>
        </is>
      </c>
    </row>
    <row r="20">
      <c r="A20" s="2" t="inlineStr"/>
      <c r="B20" s="2" t="inlineStr">
        <is>
          <t>Longhorn Solar</t>
        </is>
      </c>
      <c r="C20" s="2" t="inlineStr"/>
      <c r="D20" s="2" t="inlineStr"/>
      <c r="E20" s="2" t="inlineStr">
        <is>
          <t>info@longhornsolar.com</t>
        </is>
      </c>
      <c r="F20" s="2" t="inlineStr">
        <is>
          <t>United States</t>
        </is>
      </c>
      <c r="G20" s="2" t="inlineStr">
        <is>
          <t>Texas</t>
        </is>
      </c>
      <c r="H20" s="2" t="inlineStr">
        <is>
          <t>Round Rock</t>
        </is>
      </c>
      <c r="I20" s="2" t="inlineStr">
        <is>
          <t>https://longhornsolar.com/</t>
        </is>
      </c>
      <c r="J20" s="2" t="inlineStr">
        <is>
          <t>Residential &amp; commercial solar installer</t>
        </is>
      </c>
      <c r="K20" s="2" t="inlineStr">
        <is>
          <t>Solar PV</t>
        </is>
      </c>
      <c r="L20" s="2" t="inlineStr">
        <is>
          <t>Residential &amp; Commercial</t>
        </is>
      </c>
      <c r="M20" s="2" t="inlineStr">
        <is>
          <t>2,330+ installations (per search summary)</t>
        </is>
      </c>
      <c r="N20" s="2" t="inlineStr">
        <is>
          <t>Texas (Austin/Central Texas, San Antonio, DFW, Houston)</t>
        </is>
      </c>
      <c r="O20" s="2" t="inlineStr">
        <is>
          <t>Multiple: Round Rock HQ, San Antonio, Dallas/Fort Worth, Houston</t>
        </is>
      </c>
      <c r="P20" s="2" t="inlineStr">
        <is>
          <t>Unknown</t>
        </is>
      </c>
      <c r="Q20" s="2" t="inlineStr">
        <is>
          <t>Unknown</t>
        </is>
      </c>
      <c r="R20" s="2" t="inlineStr">
        <is>
          <t>Unknown</t>
        </is>
      </c>
      <c r="S20" s="2" t="inlineStr">
        <is>
          <t>Unknown</t>
        </is>
      </c>
      <c r="T20" s="2" t="inlineStr">
        <is>
          <t>Unknown</t>
        </is>
      </c>
      <c r="U20" s="2" t="inlineStr">
        <is>
          <t>Phone + email</t>
        </is>
      </c>
      <c r="V20" s="2" t="inlineStr">
        <is>
          <t>Website with many city landing pages (Houston, The Woodlands, Plano, New Braunfels, Round Rock)</t>
        </is>
      </c>
      <c r="W20" s="2" t="inlineStr">
        <is>
          <t>None found</t>
        </is>
      </c>
      <c r="X20" s="2" t="inlineStr">
        <is>
          <t>Multi-location across Texas's major metros</t>
        </is>
      </c>
      <c r="Y20" s="2" t="inlineStr">
        <is>
          <t>None found</t>
        </is>
      </c>
      <c r="Z20" s="2" t="inlineStr">
        <is>
          <t>Inbound calls/emails across several regional offices</t>
        </is>
      </c>
      <c r="AA20" s="2" t="inlineStr">
        <is>
          <t>Lead routing</t>
        </is>
      </c>
      <c r="AB20" s="2" t="inlineStr">
        <is>
          <t>High</t>
        </is>
      </c>
      <c r="AC20" s="2" t="inlineStr">
        <is>
          <t>Your company runs local solar pages for Texas cities from Plano to New Braunfels.</t>
        </is>
      </c>
      <c r="AD20" s="2" t="inlineStr">
        <is>
          <t>Supports the lead routing idea: Inbound calls/emails across several regional offices</t>
        </is>
      </c>
      <c r="AE20" s="2" t="inlineStr">
        <is>
          <t>I noticed your company runs local solar pages for Texas cities from Plano to New Braunfels.</t>
        </is>
      </c>
      <c r="AF20" s="2" t="inlineStr">
        <is>
          <t>Routing solar enquiries at Longhorn Solar</t>
        </is>
      </c>
      <c r="AG20" s="2" t="inlineStr">
        <is>
          <t>Hi Longhorn Solar team,
I noticed your company runs local solar pages for Texas cities from Plano to New Braunfels.
I work with businesses on AI and workflow automation. For a solar company like Longhorn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0" s="2" t="inlineStr">
        <is>
          <t>https://longhornsolar.com/about/texas-locations/san-antonio/</t>
        </is>
      </c>
      <c r="AI20" s="2" t="inlineStr">
        <is>
          <t>Exact-match search returned longhornsolar.com location pages (Houston, The Woodlands, Round Rock, New Braunfels, Plano); San Antonio office 12500 Network Blvd.</t>
        </is>
      </c>
      <c r="AJ20" s="2" t="inlineStr">
        <is>
          <t>Company website (location pages)</t>
        </is>
      </c>
      <c r="AK20" s="2" t="inlineStr">
        <is>
          <t>High</t>
        </is>
      </c>
      <c r="AL20" s="2" t="inlineStr">
        <is>
          <t>Ready</t>
        </is>
      </c>
      <c r="AM20" s="2" t="inlineStr">
        <is>
          <t>Not Sent</t>
        </is>
      </c>
      <c r="AN20" s="2" t="n"/>
      <c r="AO20" s="2" t="inlineStr">
        <is>
          <t>Batch 1 | Install count from summary. | Email source: https://longhornsolar.com/about/texas-locations/houston/</t>
        </is>
      </c>
    </row>
    <row r="21">
      <c r="A21" s="2" t="inlineStr"/>
      <c r="B21" s="2" t="inlineStr">
        <is>
          <t>Space City Solar</t>
        </is>
      </c>
      <c r="C21" s="2" t="inlineStr"/>
      <c r="D21" s="2" t="inlineStr"/>
      <c r="E21" s="2" t="inlineStr">
        <is>
          <t>sales@spacecitysolar.com</t>
        </is>
      </c>
      <c r="F21" s="2" t="inlineStr">
        <is>
          <t>United States</t>
        </is>
      </c>
      <c r="G21" s="2" t="inlineStr">
        <is>
          <t>Texas</t>
        </is>
      </c>
      <c r="H21" s="2" t="inlineStr">
        <is>
          <t>Houston</t>
        </is>
      </c>
      <c r="I21" s="2" t="inlineStr">
        <is>
          <t>https://www.spacecitysolar.com/</t>
        </is>
      </c>
      <c r="J21" s="2" t="inlineStr">
        <is>
          <t>Residential &amp; commercial solar installer</t>
        </is>
      </c>
      <c r="K21" s="2" t="inlineStr">
        <is>
          <t>Solar PV</t>
        </is>
      </c>
      <c r="L21" s="2" t="inlineStr">
        <is>
          <t>Residential &amp; Commercial</t>
        </is>
      </c>
      <c r="M21" s="2" t="inlineStr">
        <is>
          <t>Unknown</t>
        </is>
      </c>
      <c r="N21" s="2" t="inlineStr">
        <is>
          <t>Greater Houston</t>
        </is>
      </c>
      <c r="O21" s="2" t="inlineStr">
        <is>
          <t>1 (Houston, TX)</t>
        </is>
      </c>
      <c r="P21" s="2" t="inlineStr">
        <is>
          <t>Unknown</t>
        </is>
      </c>
      <c r="Q21" s="2" t="inlineStr">
        <is>
          <t>Unknown</t>
        </is>
      </c>
      <c r="R21" s="2" t="inlineStr">
        <is>
          <t>Unknown</t>
        </is>
      </c>
      <c r="S21" s="2" t="inlineStr">
        <is>
          <t>Unknown</t>
        </is>
      </c>
      <c r="T21" s="2" t="inlineStr">
        <is>
          <t>Unknown</t>
        </is>
      </c>
      <c r="U21" s="2" t="inlineStr">
        <is>
          <t>Phone + email</t>
        </is>
      </c>
      <c r="V21" s="2" t="inlineStr">
        <is>
          <t>Website; phone; Facebook</t>
        </is>
      </c>
      <c r="W21" s="2" t="inlineStr">
        <is>
          <t>None found</t>
        </is>
      </c>
      <c r="X21" s="2" t="inlineStr">
        <is>
          <t>None found</t>
        </is>
      </c>
      <c r="Y21" s="2" t="inlineStr">
        <is>
          <t>None found</t>
        </is>
      </c>
      <c r="Z21" s="2" t="inlineStr">
        <is>
          <t>Phone-led inquiries</t>
        </is>
      </c>
      <c r="AA21" s="2" t="inlineStr">
        <is>
          <t>Missed lead recovery</t>
        </is>
      </c>
      <c r="AB21" s="2" t="inlineStr">
        <is>
          <t>Medium</t>
        </is>
      </c>
      <c r="AC21" s="2" t="inlineStr">
        <is>
          <t>Your company is listed on CenterPoint Energy's site as a Houston solar provider.</t>
        </is>
      </c>
      <c r="AD21" s="2" t="inlineStr">
        <is>
          <t>Supports the missed lead recovery idea: Phone-led inquiries</t>
        </is>
      </c>
      <c r="AE21" s="2" t="inlineStr">
        <is>
          <t>I was looking at your website and saw that your company is listed on CenterPoint Energy's site as a Houston solar provider.</t>
        </is>
      </c>
      <c r="AF21" s="2" t="inlineStr">
        <is>
          <t>Solar lead follow up idea</t>
        </is>
      </c>
      <c r="AG21" s="2" t="inlineStr">
        <is>
          <t>Hi Space City Solar team,
I was looking at your website and saw that your company is listed on CenterPoint Energy's site as a Houston solar provider.
I work with businesses on AI and workflow automation. For a solar company like Space City Solar,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21" s="2" t="inlineStr">
        <is>
          <t>https://www.spacecitysolar.com/</t>
        </is>
      </c>
      <c r="AI21" s="2" t="inlineStr">
        <is>
          <t>Company site with residential and solar services pages; CenterPoint Energy has a Space City Solar page.</t>
        </is>
      </c>
      <c r="AJ21" s="2" t="inlineStr">
        <is>
          <t>Company website (home page)</t>
        </is>
      </c>
      <c r="AK21" s="2" t="inlineStr">
        <is>
          <t>Medium</t>
        </is>
      </c>
      <c r="AL21" s="2" t="inlineStr">
        <is>
          <t>Review</t>
        </is>
      </c>
      <c r="AM21" s="2" t="inlineStr">
        <is>
          <t>Not Sent</t>
        </is>
      </c>
      <c r="AN21" s="2" t="n"/>
      <c r="AO21" s="2" t="inlineStr">
        <is>
          <t>Batch 1 | Email only in search summary; exact-match verification not possible (search budget exhausted). | Email seen in search results but not independently corroborated; verify on website before sending.</t>
        </is>
      </c>
    </row>
    <row r="22">
      <c r="A22" s="2" t="inlineStr"/>
      <c r="B22" s="2" t="inlineStr">
        <is>
          <t>North Texas Solar</t>
        </is>
      </c>
      <c r="C22" s="2" t="inlineStr"/>
      <c r="D22" s="2" t="inlineStr"/>
      <c r="E22" s="2" t="inlineStr">
        <is>
          <t>info@northtexassolar.com</t>
        </is>
      </c>
      <c r="F22" s="2" t="inlineStr">
        <is>
          <t>United States</t>
        </is>
      </c>
      <c r="G22" s="2" t="inlineStr">
        <is>
          <t>Texas</t>
        </is>
      </c>
      <c r="H22" s="2" t="inlineStr">
        <is>
          <t>Fort Worth</t>
        </is>
      </c>
      <c r="I22" s="2" t="inlineStr">
        <is>
          <t>https://northtexassolar.com/</t>
        </is>
      </c>
      <c r="J22" s="2" t="inlineStr">
        <is>
          <t>Residential &amp; commercial solar installer</t>
        </is>
      </c>
      <c r="K22" s="2" t="inlineStr">
        <is>
          <t>Residential/commercial solar, off-grid, backup energy, solar leasing, EV charging &amp; carports, panel service, removal &amp; reinstall</t>
        </is>
      </c>
      <c r="L22" s="2" t="inlineStr">
        <is>
          <t>Residential &amp; Commercial</t>
        </is>
      </c>
      <c r="M22" s="2" t="inlineStr">
        <is>
          <t>Unknown</t>
        </is>
      </c>
      <c r="N22" s="2" t="inlineStr">
        <is>
          <t>Dallas-Fort Worth</t>
        </is>
      </c>
      <c r="O22" s="2" t="inlineStr">
        <is>
          <t>1 (Fort Worth, TX)</t>
        </is>
      </c>
      <c r="P22" s="2" t="inlineStr">
        <is>
          <t>Yes</t>
        </is>
      </c>
      <c r="Q22" s="2" t="inlineStr">
        <is>
          <t>Unknown</t>
        </is>
      </c>
      <c r="R22" s="2" t="inlineStr">
        <is>
          <t>Unknown</t>
        </is>
      </c>
      <c r="S22" s="2" t="inlineStr">
        <is>
          <t>Unknown</t>
        </is>
      </c>
      <c r="T22" s="2" t="inlineStr">
        <is>
          <t>Unknown</t>
        </is>
      </c>
      <c r="U22" s="2" t="inlineStr">
        <is>
          <t>Service team (solar panel service)</t>
        </is>
      </c>
      <c r="V22" s="2" t="inlineStr">
        <is>
          <t>Website quote request; city landing pages; testimonials page; online product shop</t>
        </is>
      </c>
      <c r="W22" s="2" t="inlineStr">
        <is>
          <t>None found</t>
        </is>
      </c>
      <c r="X22" s="2" t="inlineStr">
        <is>
          <t>City pages (Fort Worth, Dallas, Weatherford)</t>
        </is>
      </c>
      <c r="Y22" s="2" t="inlineStr">
        <is>
          <t>Offers solar leasing</t>
        </is>
      </c>
      <c r="Z22" s="2" t="inlineStr">
        <is>
          <t>Free quote request + phone</t>
        </is>
      </c>
      <c r="AA22" s="2" t="inlineStr">
        <is>
          <t>Quote request automation</t>
        </is>
      </c>
      <c r="AB22" s="2" t="inlineStr">
        <is>
          <t>Medium</t>
        </is>
      </c>
      <c r="AC22" s="2" t="inlineStr">
        <is>
          <t>Your company offers solar leasing to Fort Worth and Dallas homeowners.</t>
        </is>
      </c>
      <c r="AD22" s="2" t="inlineStr">
        <is>
          <t>Supports the quote request automation idea: Free quote request + phone</t>
        </is>
      </c>
      <c r="AE22" s="2" t="inlineStr">
        <is>
          <t>I came across North Texas Solar and noticed your company offers solar leasing to Fort Worth and Dallas homeowners.</t>
        </is>
      </c>
      <c r="AF22" s="2" t="inlineStr">
        <is>
          <t>A solar quote workflow idea</t>
        </is>
      </c>
      <c r="AG22" s="2" t="inlineStr">
        <is>
          <t>Hi North Texas Solar team,
I came across North Texas Solar and noticed your company offers solar leasing to Fort Worth and Dallas homeowners.
I work with businesses on AI and workflow automation. For a solar company like North Texas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2" s="2" t="inlineStr">
        <is>
          <t>https://northtexassolar.com/</t>
        </is>
      </c>
      <c r="AI22" s="2" t="inlineStr">
        <is>
          <t>Site pages for residential/commercial solar, solar leasing (Fort Worth, Dallas), contact page, product shop; serving DFW since 2015 (summary).</t>
        </is>
      </c>
      <c r="AJ22" s="2" t="inlineStr">
        <is>
          <t>Company website (services pages)</t>
        </is>
      </c>
      <c r="AK22" s="2" t="inlineStr">
        <is>
          <t>Medium</t>
        </is>
      </c>
      <c r="AL22" s="2" t="inlineStr">
        <is>
          <t>Review</t>
        </is>
      </c>
      <c r="AM22" s="2" t="inlineStr">
        <is>
          <t>Not Sent</t>
        </is>
      </c>
      <c r="AN22" s="2" t="n"/>
      <c r="AO22" s="2" t="inlineStr">
        <is>
          <t>Batch 1 | Email only in search summary; exact-match verification not possible. | Email seen in search results but not independently corroborated; verify on website before sending.</t>
        </is>
      </c>
    </row>
    <row r="23">
      <c r="A23" s="2" t="inlineStr"/>
      <c r="B23" s="2" t="inlineStr">
        <is>
          <t>New York Power Solutions</t>
        </is>
      </c>
      <c r="C23" s="2" t="inlineStr"/>
      <c r="D23" s="2" t="inlineStr"/>
      <c r="E23" s="2" t="inlineStr">
        <is>
          <t>info@newyorkpowersolutions.com</t>
        </is>
      </c>
      <c r="F23" s="2" t="inlineStr">
        <is>
          <t>United States</t>
        </is>
      </c>
      <c r="G23" s="2" t="inlineStr">
        <is>
          <t>New York</t>
        </is>
      </c>
      <c r="H23" s="2" t="inlineStr">
        <is>
          <t>White Plains</t>
        </is>
      </c>
      <c r="I23" s="2" t="inlineStr">
        <is>
          <t>https://newyorkpowersolutions.com/</t>
        </is>
      </c>
      <c r="J23" s="2" t="inlineStr">
        <is>
          <t>Roofing + solar contractor</t>
        </is>
      </c>
      <c r="K23" s="2" t="inlineStr">
        <is>
          <t>Solar PV, solar roofing, roofing</t>
        </is>
      </c>
      <c r="L23" s="2" t="inlineStr">
        <is>
          <t>Residential &amp; Commercial</t>
        </is>
      </c>
      <c r="M23" s="2" t="inlineStr">
        <is>
          <t>Unknown</t>
        </is>
      </c>
      <c r="N23" s="2" t="inlineStr">
        <is>
          <t>New York (NYC boroughs incl. Brooklyn, Westchester)</t>
        </is>
      </c>
      <c r="O23" s="2" t="inlineStr">
        <is>
          <t>1 HQ (50 Main St, White Plains, NY)</t>
        </is>
      </c>
      <c r="P23" s="2" t="inlineStr">
        <is>
          <t>Yes</t>
        </is>
      </c>
      <c r="Q23" s="2" t="inlineStr">
        <is>
          <t>Unknown</t>
        </is>
      </c>
      <c r="R23" s="2" t="inlineStr">
        <is>
          <t>Unknown</t>
        </is>
      </c>
      <c r="S23" s="2" t="inlineStr">
        <is>
          <t>Yes</t>
        </is>
      </c>
      <c r="T23" s="2" t="inlineStr">
        <is>
          <t>Unknown</t>
        </is>
      </c>
      <c r="U23" s="2" t="inlineStr">
        <is>
          <t>Phone + email</t>
        </is>
      </c>
      <c r="V23" s="2" t="inlineStr">
        <is>
          <t>Website free estimate page; location landing pages (e.g. Brooklyn); phone; email</t>
        </is>
      </c>
      <c r="W23" s="2" t="inlineStr">
        <is>
          <t>Team of solar roofers, engineers, designers, consultants and support staff (per site)</t>
        </is>
      </c>
      <c r="X23" s="2" t="inlineStr">
        <is>
          <t>Multiple city landing pages (Brooklyn, New York)</t>
        </is>
      </c>
      <c r="Y23" s="2" t="inlineStr">
        <is>
          <t>None found</t>
        </is>
      </c>
      <c r="Z23" s="2" t="inlineStr">
        <is>
          <t>Free estimate web form + phone/email follow-up</t>
        </is>
      </c>
      <c r="AA23" s="2" t="inlineStr">
        <is>
          <t>Quote request automation</t>
        </is>
      </c>
      <c r="AB23" s="2" t="inlineStr">
        <is>
          <t>High</t>
        </is>
      </c>
      <c r="AC23" s="2" t="inlineStr">
        <is>
          <t>Your site has a dedicated Free Estimate page for New York homeowners considering solar.</t>
        </is>
      </c>
      <c r="AD23" s="2" t="inlineStr">
        <is>
          <t>Supports the quote request automation idea: Free estimate web form + phone/email follow-up</t>
        </is>
      </c>
      <c r="AE23" s="2" t="inlineStr">
        <is>
          <t>I noticed your site has a dedicated Free Estimate page for New York homeowners considering solar.</t>
        </is>
      </c>
      <c r="AF23" s="2" t="inlineStr">
        <is>
          <t>Quote requests at New York Power Solutions</t>
        </is>
      </c>
      <c r="AG23" s="2" t="inlineStr">
        <is>
          <t>Hi New York Power Solutions team,
I noticed your site has a dedicated Free Estimate page for New York homeowners considering solar.
I work with businesses on AI and workflow automation. For a solar company like New York Power Solutions,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3" s="2" t="inlineStr">
        <is>
          <t>https://newyorkpowersolutions.com/free-estimate/</t>
        </is>
      </c>
      <c r="AI23" s="2" t="inlineStr">
        <is>
          <t>Email appears on company contact/FAQ/company-information pages; /free-estimate page; HQ 50 Main St Ste 1000, White Plains NY; phone 914-515-2150.</t>
        </is>
      </c>
      <c r="AJ23" s="2" t="inlineStr">
        <is>
          <t>Company website (contact page)</t>
        </is>
      </c>
      <c r="AK23" s="2" t="inlineStr">
        <is>
          <t>High</t>
        </is>
      </c>
      <c r="AL23" s="2" t="inlineStr">
        <is>
          <t>Ready</t>
        </is>
      </c>
      <c r="AM23" s="2" t="inlineStr">
        <is>
          <t>Not Sent</t>
        </is>
      </c>
      <c r="AN23" s="2" t="n"/>
      <c r="AO23" s="2" t="inlineStr">
        <is>
          <t>Batch 1 | Email source: https://newyorkpowersolutions.com/contact-us/</t>
        </is>
      </c>
    </row>
    <row r="24">
      <c r="A24" s="2" t="inlineStr"/>
      <c r="B24" s="2" t="inlineStr">
        <is>
          <t>Solar Power &amp; Light (SPL Solar)</t>
        </is>
      </c>
      <c r="C24" s="2" t="inlineStr"/>
      <c r="D24" s="2" t="inlineStr"/>
      <c r="E24" s="2" t="inlineStr">
        <is>
          <t>info@splsolar.com</t>
        </is>
      </c>
      <c r="F24" s="2" t="inlineStr">
        <is>
          <t>United States</t>
        </is>
      </c>
      <c r="G24" s="2" t="inlineStr">
        <is>
          <t>Ohio</t>
        </is>
      </c>
      <c r="H24" s="2" t="inlineStr">
        <is>
          <t>Miamisburg</t>
        </is>
      </c>
      <c r="I24" s="2" t="inlineStr">
        <is>
          <t>https://www.splsolar.com/</t>
        </is>
      </c>
      <c r="J24" s="2" t="inlineStr">
        <is>
          <t>Residential &amp; commercial solar installer</t>
        </is>
      </c>
      <c r="K24" s="2" t="inlineStr">
        <is>
          <t>Solar PV, commercial solar, municipal solar, solar signs, STEM education platform</t>
        </is>
      </c>
      <c r="L24" s="2" t="inlineStr">
        <is>
          <t>Residential, Commercial &amp; Municipal</t>
        </is>
      </c>
      <c r="M24" s="2" t="inlineStr">
        <is>
          <t>Unknown</t>
        </is>
      </c>
      <c r="N24" s="2" t="inlineStr">
        <is>
          <t>Ohio &amp; the Midwest (five states per site)</t>
        </is>
      </c>
      <c r="O24" s="2" t="inlineStr">
        <is>
          <t>1 HQ (2411 Crosspointe Dr, Miamisburg, OH)</t>
        </is>
      </c>
      <c r="P24" s="2" t="inlineStr">
        <is>
          <t>Yes</t>
        </is>
      </c>
      <c r="Q24" s="2" t="inlineStr">
        <is>
          <t>Unknown</t>
        </is>
      </c>
      <c r="R24" s="2" t="inlineStr">
        <is>
          <t>Unknown</t>
        </is>
      </c>
      <c r="S24" s="2" t="inlineStr">
        <is>
          <t>Yes</t>
        </is>
      </c>
      <c r="T24" s="2" t="inlineStr">
        <is>
          <t>Unknown</t>
        </is>
      </c>
      <c r="U24" s="2" t="inlineStr">
        <is>
          <t>Phone + email; service crews</t>
        </is>
      </c>
      <c r="V24" s="2" t="inlineStr">
        <is>
          <t>Website contact/free quote page; phone; email</t>
        </is>
      </c>
      <c r="W24" s="2" t="inlineStr">
        <is>
          <t>Contact page promises response within one business day</t>
        </is>
      </c>
      <c r="X24" s="2" t="inlineStr">
        <is>
          <t>Serves five states; school/municipal projects (e.g. Ansonia Local Schools)</t>
        </is>
      </c>
      <c r="Y24" s="2" t="inlineStr">
        <is>
          <t>Free quote requests handled by phone/email within one business day</t>
        </is>
      </c>
      <c r="Z24" s="2" t="inlineStr">
        <is>
          <t>Contact form + email inbox triaged manually within one business day</t>
        </is>
      </c>
      <c r="AA24" s="2" t="inlineStr">
        <is>
          <t>Lead qualification chatbot</t>
        </is>
      </c>
      <c r="AB24" s="2" t="inlineStr">
        <is>
          <t>Medium</t>
        </is>
      </c>
      <c r="AC24" s="2" t="inlineStr">
        <is>
          <t>Your contact page offers a free residential, commercial or municipal solar quote and promises a reply within one business day.</t>
        </is>
      </c>
      <c r="AD24" s="2" t="inlineStr">
        <is>
          <t>Supports the lead qualification chatbot idea: Contact form + email inbox triaged manually within one business day</t>
        </is>
      </c>
      <c r="AE24" s="2" t="inlineStr">
        <is>
          <t>I was looking at your website and saw that your contact page offers a free residential, commercial or municipal solar quote and promises a reply within one business day.</t>
        </is>
      </c>
      <c r="AF24" s="2" t="inlineStr">
        <is>
          <t>A solar lead follow up idea</t>
        </is>
      </c>
      <c r="AG24" s="2" t="inlineStr">
        <is>
          <t>Hi Solar Power &amp; Light (SPL Solar) team,
I was looking at your website and saw that your contact page offers a free residential, commercial or municipal solar quote and promises a reply within one business day.
I work with businesses on AI and workflow automation. For a solar business like yours, a simple AI assistant could answer first questions on the site, check things like roof type, bill size and location, and pass only qualified enquiries to your team with the details already filled in.
Would it be useful if I showed you how this could work with your current setup?
Best,
[Sender Name]
AI Automation Specialist</t>
        </is>
      </c>
      <c r="AH24" s="2" t="inlineStr">
        <is>
          <t>https://www.splsolar.com/contact</t>
        </is>
      </c>
      <c r="AI24" s="2" t="inlineStr">
        <is>
          <t>Contact page titled 'Free Solar Quote in Ohio &amp; the Midwest' lists info@splsolar.com and 937-247-9194; projects include Ansonia Local Schools.</t>
        </is>
      </c>
      <c r="AJ24" s="2" t="inlineStr">
        <is>
          <t>Company website (contact page)</t>
        </is>
      </c>
      <c r="AK24" s="2" t="inlineStr">
        <is>
          <t>High</t>
        </is>
      </c>
      <c r="AL24" s="2" t="inlineStr">
        <is>
          <t>Ready</t>
        </is>
      </c>
      <c r="AM24" s="2" t="inlineStr">
        <is>
          <t>Not Sent</t>
        </is>
      </c>
      <c r="AN24" s="2" t="n"/>
      <c r="AO24" s="2" t="inlineStr">
        <is>
          <t>Batch 1 | Site has a page for Brent Boyd but his role was not confirmed, so contact left blank.</t>
        </is>
      </c>
    </row>
    <row r="25">
      <c r="A25" s="2" t="inlineStr"/>
      <c r="B25" s="2" t="inlineStr">
        <is>
          <t>Rocknoll Energy Systems</t>
        </is>
      </c>
      <c r="C25" s="2" t="inlineStr"/>
      <c r="D25" s="2" t="inlineStr"/>
      <c r="E25" s="2" t="inlineStr">
        <is>
          <t>info@rocknollenergy.com</t>
        </is>
      </c>
      <c r="F25" s="2" t="inlineStr">
        <is>
          <t>United States</t>
        </is>
      </c>
      <c r="G25" s="2" t="inlineStr">
        <is>
          <t>Ohio</t>
        </is>
      </c>
      <c r="H25" s="2" t="inlineStr">
        <is>
          <t>Morrow</t>
        </is>
      </c>
      <c r="I25" s="2" t="inlineStr">
        <is>
          <t>https://rocknollenergy.com/</t>
        </is>
      </c>
      <c r="J25" s="2" t="inlineStr">
        <is>
          <t>Solar &amp; battery installer</t>
        </is>
      </c>
      <c r="K25" s="2" t="inlineStr">
        <is>
          <t>Solar PV, solar thermal, wind turbines, generators (Generac dealer), battery backup, EV charging, radiant heat</t>
        </is>
      </c>
      <c r="L25" s="2" t="inlineStr">
        <is>
          <t>Residential &amp; Commercial</t>
        </is>
      </c>
      <c r="M25" s="2" t="inlineStr">
        <is>
          <t>11-50 employees (LinkedIn/ZoomInfo snippet); founded 1994</t>
        </is>
      </c>
      <c r="N25" s="2" t="inlineStr">
        <is>
          <t>Southwest Ohio / Greater Cincinnati</t>
        </is>
      </c>
      <c r="O25" s="2" t="inlineStr">
        <is>
          <t>1 (6344 US Rt 22-3, Morrow, OH)</t>
        </is>
      </c>
      <c r="P25" s="2" t="inlineStr">
        <is>
          <t>Unknown</t>
        </is>
      </c>
      <c r="Q25" s="2" t="inlineStr">
        <is>
          <t>Unknown</t>
        </is>
      </c>
      <c r="R25" s="2" t="inlineStr">
        <is>
          <t>Unknown</t>
        </is>
      </c>
      <c r="S25" s="2" t="inlineStr">
        <is>
          <t>Unknown</t>
        </is>
      </c>
      <c r="T25" s="2" t="inlineStr">
        <is>
          <t>Unknown</t>
        </is>
      </c>
      <c r="U25" s="2" t="inlineStr">
        <is>
          <t>Phone + email; solar service</t>
        </is>
      </c>
      <c r="V25" s="2" t="inlineStr">
        <is>
          <t>Website; Facebook; Nextdoor; Yelp; Generac dealer locator</t>
        </is>
      </c>
      <c r="W25" s="2" t="inlineStr">
        <is>
          <t>None found</t>
        </is>
      </c>
      <c r="X25" s="2" t="inlineStr">
        <is>
          <t>Listed across Generac dealer network, Yelp, Nextdoor</t>
        </is>
      </c>
      <c r="Y25" s="2" t="inlineStr">
        <is>
          <t>None found</t>
        </is>
      </c>
      <c r="Z25" s="2" t="inlineStr">
        <is>
          <t>Contact page with email/phone enquiries</t>
        </is>
      </c>
      <c r="AA25" s="2" t="inlineStr">
        <is>
          <t>Customer support automation</t>
        </is>
      </c>
      <c r="AB25" s="2" t="inlineStr">
        <is>
          <t>Medium</t>
        </is>
      </c>
      <c r="AC25" s="2" t="inlineStr">
        <is>
          <t>Your company has been offering solar, wind and battery backup systems out of Morrow, Ohio since 1994.</t>
        </is>
      </c>
      <c r="AD25" s="2" t="inlineStr">
        <is>
          <t>Supports the customer support automation idea: Contact page with email/phone enquiries</t>
        </is>
      </c>
      <c r="AE25" s="2" t="inlineStr">
        <is>
          <t>I came across Rocknoll Energy Systems and noticed your company has been offering solar, wind and battery backup systems out of Morrow, Ohio since 1994.</t>
        </is>
      </c>
      <c r="AF25" s="2" t="inlineStr">
        <is>
          <t>A support workflow idea for Rocknoll Energy Systems</t>
        </is>
      </c>
      <c r="AG25" s="2" t="inlineStr">
        <is>
          <t>Hi Rocknoll Energy Systems team,
I came across Rocknoll Energy Systems and noticed your company has been offering solar, wind and battery backup systems out of Morrow, Ohio since 1994.
I work with businesses on AI and workflow automation. For a solar company like Rocknoll Energy Systems,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25" s="2" t="inlineStr">
        <is>
          <t>https://rocknollenergy.com/contact-us/</t>
        </is>
      </c>
      <c r="AI25" s="2" t="inlineStr">
        <is>
          <t>Exact-match search returns company contact page and listings; offers solar PV, solar thermal, battery backup, generators and EV chargers.</t>
        </is>
      </c>
      <c r="AJ25" s="2" t="inlineStr">
        <is>
          <t>Company website (contact page)</t>
        </is>
      </c>
      <c r="AK25" s="2" t="inlineStr">
        <is>
          <t>High</t>
        </is>
      </c>
      <c r="AL25" s="2" t="inlineStr">
        <is>
          <t>Ready</t>
        </is>
      </c>
      <c r="AM25" s="2" t="inlineStr">
        <is>
          <t>Not Sent</t>
        </is>
      </c>
      <c r="AN25" s="2" t="n"/>
      <c r="AO25" s="2" t="inlineStr">
        <is>
          <t>Batch 1</t>
        </is>
      </c>
    </row>
    <row r="26">
      <c r="A26" s="2" t="inlineStr"/>
      <c r="B26" s="2" t="inlineStr">
        <is>
          <t>Wolf River Electric</t>
        </is>
      </c>
      <c r="C26" s="2" t="inlineStr"/>
      <c r="D26" s="2" t="inlineStr"/>
      <c r="E26" s="2" t="inlineStr">
        <is>
          <t>contact@wolfriverelectric.com</t>
        </is>
      </c>
      <c r="F26" s="2" t="inlineStr">
        <is>
          <t>United States</t>
        </is>
      </c>
      <c r="G26" s="2" t="inlineStr">
        <is>
          <t>Minnesota</t>
        </is>
      </c>
      <c r="H26" s="2" t="inlineStr">
        <is>
          <t>Isanti</t>
        </is>
      </c>
      <c r="I26" s="2" t="inlineStr">
        <is>
          <t>https://wolfriverelectric.com/</t>
        </is>
      </c>
      <c r="J26" s="2" t="inlineStr">
        <is>
          <t>Residential &amp; commercial solar installer</t>
        </is>
      </c>
      <c r="K26" s="2" t="inlineStr">
        <is>
          <t>Solar PV, batteries, EV charging</t>
        </is>
      </c>
      <c r="L26" s="2" t="inlineStr">
        <is>
          <t>Residential &amp; Commercial</t>
        </is>
      </c>
      <c r="M26" s="2" t="inlineStr">
        <is>
          <t>Unknown</t>
        </is>
      </c>
      <c r="N26" s="2" t="inlineStr">
        <is>
          <t>Minnesota, Wisconsin, Iowa, North Dakota, South Dakota</t>
        </is>
      </c>
      <c r="O26" s="2" t="inlineStr">
        <is>
          <t>HQ Isanti, MN; state location pages (MN, WI)</t>
        </is>
      </c>
      <c r="P26" s="2" t="inlineStr">
        <is>
          <t>Yes</t>
        </is>
      </c>
      <c r="Q26" s="2" t="inlineStr">
        <is>
          <t>Unknown</t>
        </is>
      </c>
      <c r="R26" s="2" t="inlineStr">
        <is>
          <t>Unknown</t>
        </is>
      </c>
      <c r="S26" s="2" t="inlineStr">
        <is>
          <t>Yes</t>
        </is>
      </c>
      <c r="T26" s="2" t="inlineStr">
        <is>
          <t>Unknown</t>
        </is>
      </c>
      <c r="U26" s="2" t="inlineStr">
        <is>
          <t>Phone + email</t>
        </is>
      </c>
      <c r="V26" s="2" t="inlineStr">
        <is>
          <t>Website; city landing pages (e.g. Minneapolis); $0-down solar landing page; reviews page; merch shop</t>
        </is>
      </c>
      <c r="W26" s="2" t="inlineStr">
        <is>
          <t>$0 down solar offer landing page; dedicated team page</t>
        </is>
      </c>
      <c r="X26" s="2" t="inlineStr">
        <is>
          <t>Serves 5 states; multiple location pages</t>
        </is>
      </c>
      <c r="Y26" s="2" t="inlineStr">
        <is>
          <t>Financing ($0 down) offer implies application step</t>
        </is>
      </c>
      <c r="Z26" s="2" t="inlineStr">
        <is>
          <t>Free quote form + financing pitch handled by sales team</t>
        </is>
      </c>
      <c r="AA26" s="2" t="inlineStr">
        <is>
          <t>Lead routing</t>
        </is>
      </c>
      <c r="AB26" s="2" t="inlineStr">
        <is>
          <t>High</t>
        </is>
      </c>
      <c r="AC26" s="2" t="inlineStr">
        <is>
          <t>Your site promotes $0-down solar for homeowners across Minnesota and neighbouring states.</t>
        </is>
      </c>
      <c r="AD26" s="2" t="inlineStr">
        <is>
          <t>Supports the lead routing idea: Free quote form + financing pitch handled by sales team</t>
        </is>
      </c>
      <c r="AE26" s="2" t="inlineStr">
        <is>
          <t>I noticed your site promotes $0-down solar for homeowners across Minnesota and neighbouring states.</t>
        </is>
      </c>
      <c r="AF26" s="2" t="inlineStr">
        <is>
          <t>Routing solar enquiries at Wolf River Electric</t>
        </is>
      </c>
      <c r="AG26" s="2" t="inlineStr">
        <is>
          <t>Hi Wolf River Electric team,
I noticed your site promotes $0-down solar for homeowners across Minnesota and neighbouring states.
I work with businesses on AI and workflow automation. For a solar company like Wolf River Electric,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6" s="2" t="inlineStr">
        <is>
          <t>https://wolfriverelectric.com/0-down-solar-home/</t>
        </is>
      </c>
      <c r="AI26" s="2" t="inlineStr">
        <is>
          <t>contact@ email on company contact page; HQ 101 Isanti Pkwy NE Suite G; serves MN, WI, IA, ND, SD; free solar quotes.</t>
        </is>
      </c>
      <c r="AJ26" s="2" t="inlineStr">
        <is>
          <t>Company website (contact page)</t>
        </is>
      </c>
      <c r="AK26" s="2" t="inlineStr">
        <is>
          <t>High</t>
        </is>
      </c>
      <c r="AL26" s="2" t="inlineStr">
        <is>
          <t>Ready</t>
        </is>
      </c>
      <c r="AM26" s="2" t="inlineStr">
        <is>
          <t>Not Sent</t>
        </is>
      </c>
      <c r="AN26" s="2" t="n"/>
      <c r="AO26" s="2" t="inlineStr">
        <is>
          <t>Batch 1 | Email source: https://wolfriverelectric.com/contact-us/</t>
        </is>
      </c>
    </row>
    <row r="27">
      <c r="A27" s="2" t="inlineStr"/>
      <c r="B27" s="2" t="inlineStr">
        <is>
          <t>Infinity Energy</t>
        </is>
      </c>
      <c r="C27" s="2" t="inlineStr"/>
      <c r="D27" s="2" t="inlineStr"/>
      <c r="E27" s="2" t="inlineStr">
        <is>
          <t>info@infinitysolarsystems.com</t>
        </is>
      </c>
      <c r="F27" s="2" t="inlineStr">
        <is>
          <t>United States</t>
        </is>
      </c>
      <c r="G27" s="2" t="inlineStr">
        <is>
          <t>New Jersey</t>
        </is>
      </c>
      <c r="H27" s="2" t="inlineStr">
        <is>
          <t>Mahwah</t>
        </is>
      </c>
      <c r="I27" s="2" t="inlineStr">
        <is>
          <t>https://infinitysolarsystems.com/</t>
        </is>
      </c>
      <c r="J27" s="2" t="inlineStr">
        <is>
          <t>Roofing + solar contractor</t>
        </is>
      </c>
      <c r="K27" s="2" t="inlineStr">
        <is>
          <t>Solar PV, roofing (GAF Master Elite)</t>
        </is>
      </c>
      <c r="L27" s="2" t="inlineStr">
        <is>
          <t>Residential</t>
        </is>
      </c>
      <c r="M27" s="2" t="inlineStr">
        <is>
          <t>10,000+ projects completed (site title)</t>
        </is>
      </c>
      <c r="N27" s="2" t="inlineStr">
        <is>
          <t>New York, New Jersey, Connecticut</t>
        </is>
      </c>
      <c r="O27" s="2" t="inlineStr">
        <is>
          <t>Unknown (Facebook lists Mahwah, NJ)</t>
        </is>
      </c>
      <c r="P27" s="2" t="inlineStr">
        <is>
          <t>Unknown</t>
        </is>
      </c>
      <c r="Q27" s="2" t="inlineStr">
        <is>
          <t>Unknown</t>
        </is>
      </c>
      <c r="R27" s="2" t="inlineStr">
        <is>
          <t>Unknown</t>
        </is>
      </c>
      <c r="S27" s="2" t="inlineStr">
        <is>
          <t>Unknown</t>
        </is>
      </c>
      <c r="T27" s="2" t="inlineStr">
        <is>
          <t>Unknown</t>
        </is>
      </c>
      <c r="U27" s="2" t="inlineStr">
        <is>
          <t>Phone + email</t>
        </is>
      </c>
      <c r="V27" s="2" t="inlineStr">
        <is>
          <t>Website; Facebook; NYSEIA member listing; phone 855-769-3713</t>
        </is>
      </c>
      <c r="W27" s="2" t="inlineStr">
        <is>
          <t>None found</t>
        </is>
      </c>
      <c r="X27" s="2" t="inlineStr">
        <is>
          <t>10,000+ projects completed across NY, NJ, CT</t>
        </is>
      </c>
      <c r="Y27" s="2" t="inlineStr">
        <is>
          <t>None found</t>
        </is>
      </c>
      <c r="Z27" s="2" t="inlineStr">
        <is>
          <t>Phone/email enquiries across three states</t>
        </is>
      </c>
      <c r="AA27" s="2" t="inlineStr">
        <is>
          <t>Lead qualification chatbot</t>
        </is>
      </c>
      <c r="AB27" s="2" t="inlineStr">
        <is>
          <t>High</t>
        </is>
      </c>
      <c r="AC27" s="2" t="inlineStr">
        <is>
          <t>Your site highlights more than 10,000 solar projects completed across NY, NJ and CT.</t>
        </is>
      </c>
      <c r="AD27" s="2" t="inlineStr">
        <is>
          <t>Supports the lead qualification chatbot idea: Phone/email enquiries across three states</t>
        </is>
      </c>
      <c r="AE27" s="2" t="inlineStr">
        <is>
          <t>I noticed your site highlights more than 10,000 solar projects completed across NY, NJ and CT.</t>
        </is>
      </c>
      <c r="AF27" s="2" t="inlineStr">
        <is>
          <t>A lead qualification idea for Infinity Energy</t>
        </is>
      </c>
      <c r="AG27" s="2" t="inlineStr">
        <is>
          <t>Hi Infinity Energy team,
I noticed your site highlights more than 10,000 solar projects completed across NY, NJ and CT.
I work with businesses on AI and workflow automation. For a solar company like Infinity Energy,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27" s="2" t="inlineStr">
        <is>
          <t>https://infinitysolarsystems.com/</t>
        </is>
      </c>
      <c r="AI27" s="2" t="inlineStr">
        <is>
          <t>Email on NYSEIA member page; site title '10,000+ Projects Completed'; GAF Master Elite; 25-year warranty.</t>
        </is>
      </c>
      <c r="AJ27" s="2" t="inlineStr">
        <is>
          <t>Industry association listing</t>
        </is>
      </c>
      <c r="AK27" s="2" t="inlineStr">
        <is>
          <t>Medium</t>
        </is>
      </c>
      <c r="AL27" s="2" t="inlineStr">
        <is>
          <t>Ready</t>
        </is>
      </c>
      <c r="AM27" s="2" t="inlineStr">
        <is>
          <t>Not Sent</t>
        </is>
      </c>
      <c r="AN27" s="2" t="n"/>
      <c r="AO27" s="2" t="inlineStr">
        <is>
          <t>Batch 1 | City from Facebook page title (Mahwah NJ); thenewutility.com contact page also appeared in results, relationship unclear. | Email source: https://www.nyseia.org/Members/infinity-energy</t>
        </is>
      </c>
    </row>
    <row r="28">
      <c r="A28" s="2" t="inlineStr"/>
      <c r="B28" s="2" t="inlineStr">
        <is>
          <t>PowerLutions Solar</t>
        </is>
      </c>
      <c r="C28" s="2" t="inlineStr"/>
      <c r="D28" s="2" t="inlineStr"/>
      <c r="E28" s="2" t="inlineStr">
        <is>
          <t>info@powerlutions.com</t>
        </is>
      </c>
      <c r="F28" s="2" t="inlineStr">
        <is>
          <t>United States</t>
        </is>
      </c>
      <c r="G28" s="2" t="inlineStr">
        <is>
          <t>New Jersey</t>
        </is>
      </c>
      <c r="H28" s="2" t="inlineStr"/>
      <c r="I28" s="2" t="inlineStr">
        <is>
          <t>https://powerlutions.com/</t>
        </is>
      </c>
      <c r="J28" s="2" t="inlineStr">
        <is>
          <t>Residential &amp; commercial solar installer</t>
        </is>
      </c>
      <c r="K28" s="2" t="inlineStr">
        <is>
          <t>Solar PV, battery storage, EV chargers &amp; EV infrastructure, solar consulting</t>
        </is>
      </c>
      <c r="L28" s="2" t="inlineStr">
        <is>
          <t>Residential &amp; Commercial</t>
        </is>
      </c>
      <c r="M28" s="2" t="inlineStr">
        <is>
          <t>Unknown</t>
        </is>
      </c>
      <c r="N28" s="2" t="inlineStr">
        <is>
          <t>New Jersey &amp; New York</t>
        </is>
      </c>
      <c r="O28" s="2" t="inlineStr">
        <is>
          <t>Offices in New Jersey and New York</t>
        </is>
      </c>
      <c r="P28" s="2" t="inlineStr">
        <is>
          <t>Yes</t>
        </is>
      </c>
      <c r="Q28" s="2" t="inlineStr">
        <is>
          <t>Yes</t>
        </is>
      </c>
      <c r="R28" s="2" t="inlineStr">
        <is>
          <t>Unknown</t>
        </is>
      </c>
      <c r="S28" s="2" t="inlineStr">
        <is>
          <t>Unknown</t>
        </is>
      </c>
      <c r="T28" s="2" t="inlineStr">
        <is>
          <t>Unknown</t>
        </is>
      </c>
      <c r="U28" s="2" t="inlineStr">
        <is>
          <t>Phone + email</t>
        </is>
      </c>
      <c r="V28" s="2" t="inlineStr">
        <is>
          <t>Website blog; remote quotes via phone, Zoom or email; LinkedIn</t>
        </is>
      </c>
      <c r="W28" s="2" t="inlineStr">
        <is>
          <t>Offers remote solar quotes over phone/Zoom/email</t>
        </is>
      </c>
      <c r="X28" s="2" t="inlineStr">
        <is>
          <t>Offices in two states; residential, small and large commercial</t>
        </is>
      </c>
      <c r="Y28" s="2" t="inlineStr">
        <is>
          <t>Remote quote -&gt; consultation process</t>
        </is>
      </c>
      <c r="Z28" s="2" t="inlineStr">
        <is>
          <t>Remote quotes booked by phone/Zoom/email manually</t>
        </is>
      </c>
      <c r="AA28" s="2" t="inlineStr">
        <is>
          <t>Appointment booking automation</t>
        </is>
      </c>
      <c r="AB28" s="2" t="inlineStr">
        <is>
          <t>High</t>
        </is>
      </c>
      <c r="AC28" s="2" t="inlineStr">
        <is>
          <t>Your site offers remote solar quotes over the phone, Zoom or email.</t>
        </is>
      </c>
      <c r="AD28" s="2" t="inlineStr">
        <is>
          <t>Supports the appointment booking automation idea: Remote quotes booked by phone/Zoom/email manually</t>
        </is>
      </c>
      <c r="AE28" s="2" t="inlineStr">
        <is>
          <t>I came across PowerLutions Solar and noticed your site offers remote solar quotes over the phone, Zoom or email.</t>
        </is>
      </c>
      <c r="AF28" s="2" t="inlineStr">
        <is>
          <t>Consultation booking at PowerLutions Solar</t>
        </is>
      </c>
      <c r="AG28" s="2" t="inlineStr">
        <is>
          <t>Hi PowerLutions Solar team,
I came across PowerLutions Solar and noticed your site offers remote solar quotes over the phone, Zoom or email.
I work with businesses on AI and workflow automation. For a solar company like PowerLutions Solar,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28" s="2" t="inlineStr">
        <is>
          <t>https://powerlutions.com/solar/remote-solar-quotes-over-the-phone-or-zoom-or-email/</t>
        </is>
      </c>
      <c r="AI28" s="2" t="inlineStr">
        <is>
          <t>Email on company pages; full-service integrator with NJ and NY offices; batteries and EV chargers; phone 732-987-3939.</t>
        </is>
      </c>
      <c r="AJ28" s="2" t="inlineStr">
        <is>
          <t>Company website (quote page)</t>
        </is>
      </c>
      <c r="AK28" s="2" t="inlineStr">
        <is>
          <t>High</t>
        </is>
      </c>
      <c r="AL28" s="2" t="inlineStr">
        <is>
          <t>Ready</t>
        </is>
      </c>
      <c r="AM28" s="2" t="inlineStr">
        <is>
          <t>Not Sent</t>
        </is>
      </c>
      <c r="AN28" s="2" t="n"/>
      <c r="AO28" s="2" t="inlineStr">
        <is>
          <t>Batch 1 | HQ city not confirmed (a Marlboro page exists).</t>
        </is>
      </c>
    </row>
    <row r="29">
      <c r="A29" s="2" t="inlineStr"/>
      <c r="B29" s="2" t="inlineStr">
        <is>
          <t>Strawberry Solar</t>
        </is>
      </c>
      <c r="C29" s="2" t="inlineStr"/>
      <c r="D29" s="2" t="inlineStr"/>
      <c r="E29" s="2" t="inlineStr">
        <is>
          <t>sales@strawberrysolar.com</t>
        </is>
      </c>
      <c r="F29" s="2" t="inlineStr">
        <is>
          <t>United States</t>
        </is>
      </c>
      <c r="G29" s="2" t="inlineStr">
        <is>
          <t>Michigan</t>
        </is>
      </c>
      <c r="H29" s="2" t="inlineStr">
        <is>
          <t>Detroit</t>
        </is>
      </c>
      <c r="I29" s="2" t="inlineStr">
        <is>
          <t>https://www.strawberrysolar.com/</t>
        </is>
      </c>
      <c r="J29" s="2" t="inlineStr">
        <is>
          <t>Residential &amp; commercial solar installer</t>
        </is>
      </c>
      <c r="K29" s="2" t="inlineStr">
        <is>
          <t>Turnkey solar design, installation and support</t>
        </is>
      </c>
      <c r="L29" s="2" t="inlineStr">
        <is>
          <t>Residential &amp; Commercial</t>
        </is>
      </c>
      <c r="M29" s="2" t="inlineStr">
        <is>
          <t>Unknown</t>
        </is>
      </c>
      <c r="N29" s="2" t="inlineStr">
        <is>
          <t>Michigan (Detroit, Ann Arbor, Grand Rapids, Rochester Hills, Traverse City)</t>
        </is>
      </c>
      <c r="O29" s="2" t="inlineStr">
        <is>
          <t>HQ 4444 2nd Ave, Detroit; multiple city pages</t>
        </is>
      </c>
      <c r="P29" s="2" t="inlineStr">
        <is>
          <t>Unknown</t>
        </is>
      </c>
      <c r="Q29" s="2" t="inlineStr">
        <is>
          <t>Unknown</t>
        </is>
      </c>
      <c r="R29" s="2" t="inlineStr">
        <is>
          <t>Unknown</t>
        </is>
      </c>
      <c r="S29" s="2" t="inlineStr">
        <is>
          <t>Unknown</t>
        </is>
      </c>
      <c r="T29" s="2" t="inlineStr">
        <is>
          <t>Unknown</t>
        </is>
      </c>
      <c r="U29" s="2" t="inlineStr">
        <is>
          <t>Phone + email; post-install support</t>
        </is>
      </c>
      <c r="V29" s="2" t="inlineStr">
        <is>
          <t>Website with city landing pages; phone (313) 960-7900</t>
        </is>
      </c>
      <c r="W29" s="2" t="inlineStr">
        <is>
          <t>Dedicated sales@ inbox</t>
        </is>
      </c>
      <c r="X29" s="2" t="inlineStr">
        <is>
          <t>Landing pages for 5+ Michigan cities; operating since 2010</t>
        </is>
      </c>
      <c r="Y29" s="2" t="inlineStr">
        <is>
          <t>None found</t>
        </is>
      </c>
      <c r="Z29" s="2" t="inlineStr">
        <is>
          <t>Sales inbox + phone for statewide leads</t>
        </is>
      </c>
      <c r="AA29" s="2" t="inlineStr">
        <is>
          <t>Lead routing</t>
        </is>
      </c>
      <c r="AB29" s="2" t="inlineStr">
        <is>
          <t>High</t>
        </is>
      </c>
      <c r="AC29" s="2" t="inlineStr">
        <is>
          <t>Your site has local landing pages for Detroit, Ann Arbor, Grand Rapids and Traverse City.</t>
        </is>
      </c>
      <c r="AD29" s="2" t="inlineStr">
        <is>
          <t>Supports the lead routing idea: Sales inbox + phone for statewide leads</t>
        </is>
      </c>
      <c r="AE29" s="2" t="inlineStr">
        <is>
          <t>I noticed your site has local landing pages for Detroit, Ann Arbor, Grand Rapids and Traverse City.</t>
        </is>
      </c>
      <c r="AF29" s="2" t="inlineStr">
        <is>
          <t>A lead routing idea for Strawberry Solar</t>
        </is>
      </c>
      <c r="AG29" s="2" t="inlineStr">
        <is>
          <t>Hi Strawberry Solar team,
I noticed your site has local landing pages for Detroit, Ann Arbor, Grand Rapids and Traverse City.
I work with businesses on AI and workflow automation. For a solar company like Strawberry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9" s="2" t="inlineStr">
        <is>
          <t>https://www.strawberrysolar.com/contact/</t>
        </is>
      </c>
      <c r="AI29" s="2" t="inlineStr">
        <is>
          <t>sales@ email on contact/privacy pages; Michigan installer since 2010; multiple city pages.</t>
        </is>
      </c>
      <c r="AJ29" s="2" t="inlineStr">
        <is>
          <t>Company website (contact page)</t>
        </is>
      </c>
      <c r="AK29" s="2" t="inlineStr">
        <is>
          <t>High</t>
        </is>
      </c>
      <c r="AL29" s="2" t="inlineStr">
        <is>
          <t>Ready</t>
        </is>
      </c>
      <c r="AM29" s="2" t="inlineStr">
        <is>
          <t>Not Sent</t>
        </is>
      </c>
      <c r="AN29" s="2" t="n"/>
      <c r="AO29" s="2" t="inlineStr">
        <is>
          <t>Batch 1</t>
        </is>
      </c>
    </row>
    <row r="30">
      <c r="A30" s="2" t="inlineStr"/>
      <c r="B30" s="2" t="inlineStr">
        <is>
          <t>WindSoleil</t>
        </is>
      </c>
      <c r="C30" s="2" t="inlineStr"/>
      <c r="D30" s="2" t="inlineStr"/>
      <c r="E30" s="2" t="inlineStr">
        <is>
          <t>info@windsoleil.com</t>
        </is>
      </c>
      <c r="F30" s="2" t="inlineStr">
        <is>
          <t>United States</t>
        </is>
      </c>
      <c r="G30" s="2" t="inlineStr">
        <is>
          <t>Illinois</t>
        </is>
      </c>
      <c r="H30" s="2" t="inlineStr">
        <is>
          <t>Evanston</t>
        </is>
      </c>
      <c r="I30" s="2" t="inlineStr">
        <is>
          <t>https://www.windsoleil.com/</t>
        </is>
      </c>
      <c r="J30" s="2" t="inlineStr">
        <is>
          <t>Residential &amp; commercial solar installer</t>
        </is>
      </c>
      <c r="K30" s="2" t="inlineStr">
        <is>
          <t>Solar PV, wind energy, solar thermal, solar pool heating, energy audits, grid-tie kits</t>
        </is>
      </c>
      <c r="L30" s="2" t="inlineStr">
        <is>
          <t>Residential &amp; Commercial</t>
        </is>
      </c>
      <c r="M30" s="2" t="inlineStr">
        <is>
          <t>Unknown</t>
        </is>
      </c>
      <c r="N30" s="2" t="inlineStr">
        <is>
          <t>Illinois (Chicago, Rockford, Peoria)</t>
        </is>
      </c>
      <c r="O30" s="2" t="inlineStr">
        <is>
          <t>1 (1715 Emerson St, Evanston, IL)</t>
        </is>
      </c>
      <c r="P30" s="2" t="inlineStr">
        <is>
          <t>Unknown</t>
        </is>
      </c>
      <c r="Q30" s="2" t="inlineStr">
        <is>
          <t>Yes</t>
        </is>
      </c>
      <c r="R30" s="2" t="inlineStr">
        <is>
          <t>Unknown</t>
        </is>
      </c>
      <c r="S30" s="2" t="inlineStr">
        <is>
          <t>Yes</t>
        </is>
      </c>
      <c r="T30" s="2" t="inlineStr">
        <is>
          <t>Unknown</t>
        </is>
      </c>
      <c r="U30" s="2" t="inlineStr">
        <is>
          <t>Phone + email</t>
        </is>
      </c>
      <c r="V30" s="2" t="inlineStr">
        <is>
          <t>Website free site assessment form; online kit store; Facebook</t>
        </is>
      </c>
      <c r="W30" s="2" t="inlineStr">
        <is>
          <t>None found</t>
        </is>
      </c>
      <c r="X30" s="2" t="inlineStr">
        <is>
          <t>Serves Chicago, Rockford and Peoria</t>
        </is>
      </c>
      <c r="Y30" s="2" t="inlineStr">
        <is>
          <t>Free site assessment step before proposal</t>
        </is>
      </c>
      <c r="Z30" s="2" t="inlineStr">
        <is>
          <t>Free site assessment form followed by manual scheduling</t>
        </is>
      </c>
      <c r="AA30" s="2" t="inlineStr">
        <is>
          <t>Site survey scheduling</t>
        </is>
      </c>
      <c r="AB30" s="2" t="inlineStr">
        <is>
          <t>Medium</t>
        </is>
      </c>
      <c r="AC30" s="2" t="inlineStr">
        <is>
          <t>Your site offers a free site assessment for solar and wind projects.</t>
        </is>
      </c>
      <c r="AD30" s="2" t="inlineStr">
        <is>
          <t>Supports the site survey scheduling idea: Free site assessment form followed by manual scheduling</t>
        </is>
      </c>
      <c r="AE30" s="2" t="inlineStr">
        <is>
          <t>I noticed your site offers a free site assessment for solar and wind projects.</t>
        </is>
      </c>
      <c r="AF30" s="2" t="inlineStr">
        <is>
          <t>Site survey scheduling idea</t>
        </is>
      </c>
      <c r="AG30" s="2" t="inlineStr">
        <is>
          <t>Hi WindSoleil team,
I noticed your site offers a free site assessment for solar and wind projects.
I work with businesses on AI and workflow automation. For a solar company like WindSoleil, once a lead is qualified, a workflow could offer survey slots, confirm the address and roof details, send reminders and notify the surveyor.
It keeps surveys moving without someone chasing each one by phone.
Would it be useful if I showed you how this could work with your current setup?
Best,
[Sender Name]
AI Automation Specialist</t>
        </is>
      </c>
      <c r="AH30" s="2" t="inlineStr">
        <is>
          <t>https://www.windsoleil.com/free-site-assessment</t>
        </is>
      </c>
      <c r="AI30" s="2" t="inlineStr">
        <is>
          <t>Email on company contact page; /free-site-assessment page; sells grid-tie kits online.</t>
        </is>
      </c>
      <c r="AJ30" s="2" t="inlineStr">
        <is>
          <t>Company website (contact page)</t>
        </is>
      </c>
      <c r="AK30" s="2" t="inlineStr">
        <is>
          <t>High</t>
        </is>
      </c>
      <c r="AL30" s="2" t="inlineStr">
        <is>
          <t>Ready</t>
        </is>
      </c>
      <c r="AM30" s="2" t="inlineStr">
        <is>
          <t>Not Sent</t>
        </is>
      </c>
      <c r="AN30" s="2" t="n"/>
      <c r="AO30" s="2" t="inlineStr">
        <is>
          <t>Batch 1 | Email source: https://www.windsoleil.com/contact</t>
        </is>
      </c>
    </row>
    <row r="31">
      <c r="A31" s="2" t="inlineStr">
        <is>
          <t>Jeff Gruetzmacher</t>
        </is>
      </c>
      <c r="B31" s="2" t="inlineStr">
        <is>
          <t>Energy Consultants of Wisconsin</t>
        </is>
      </c>
      <c r="C31" s="2" t="inlineStr">
        <is>
          <t>Jeff</t>
        </is>
      </c>
      <c r="D31" s="2" t="inlineStr">
        <is>
          <t>Owner</t>
        </is>
      </c>
      <c r="E31" s="2" t="inlineStr">
        <is>
          <t>info@ecwlighting.com</t>
        </is>
      </c>
      <c r="F31" s="2" t="inlineStr">
        <is>
          <t>United States</t>
        </is>
      </c>
      <c r="G31" s="2" t="inlineStr">
        <is>
          <t>Wisconsin</t>
        </is>
      </c>
      <c r="H31" s="2" t="inlineStr">
        <is>
          <t>Grafton</t>
        </is>
      </c>
      <c r="I31" s="2" t="inlineStr">
        <is>
          <t>https://www.ecwlighting.com/</t>
        </is>
      </c>
      <c r="J31" s="2" t="inlineStr">
        <is>
          <t>Residential &amp; commercial solar installer</t>
        </is>
      </c>
      <c r="K31" s="2" t="inlineStr">
        <is>
          <t>Solar installation, electrical services, lighting</t>
        </is>
      </c>
      <c r="L31" s="2" t="inlineStr">
        <is>
          <t>Residential &amp; Commercial</t>
        </is>
      </c>
      <c r="M31" s="2" t="inlineStr">
        <is>
          <t>Founded 1989</t>
        </is>
      </c>
      <c r="N31" s="2" t="inlineStr">
        <is>
          <t>Southeast Wisconsin</t>
        </is>
      </c>
      <c r="O31" s="2" t="inlineStr">
        <is>
          <t>1 (Grafton, WI)</t>
        </is>
      </c>
      <c r="P31" s="2" t="inlineStr">
        <is>
          <t>Unknown</t>
        </is>
      </c>
      <c r="Q31" s="2" t="inlineStr">
        <is>
          <t>Unknown</t>
        </is>
      </c>
      <c r="R31" s="2" t="inlineStr">
        <is>
          <t>Unknown</t>
        </is>
      </c>
      <c r="S31" s="2" t="inlineStr">
        <is>
          <t>Unknown</t>
        </is>
      </c>
      <c r="T31" s="2" t="inlineStr">
        <is>
          <t>Unknown</t>
        </is>
      </c>
      <c r="U31" s="2" t="inlineStr">
        <is>
          <t>Phone + email</t>
        </is>
      </c>
      <c r="V31" s="2" t="inlineStr">
        <is>
          <t>Website; Facebook</t>
        </is>
      </c>
      <c r="W31" s="2" t="inlineStr">
        <is>
          <t>None found</t>
        </is>
      </c>
      <c r="X31" s="2" t="inlineStr">
        <is>
          <t>None found</t>
        </is>
      </c>
      <c r="Y31" s="2" t="inlineStr">
        <is>
          <t>None found</t>
        </is>
      </c>
      <c r="Z31" s="2" t="inlineStr">
        <is>
          <t>Contact page enquiries by phone/email</t>
        </is>
      </c>
      <c r="AA31" s="2" t="inlineStr">
        <is>
          <t>Missed lead recovery</t>
        </is>
      </c>
      <c r="AB31" s="2" t="inlineStr">
        <is>
          <t>Low</t>
        </is>
      </c>
      <c r="AC31" s="2" t="inlineStr">
        <is>
          <t>Your company has offered solar, electric and lighting services in Wisconsin since 1989.</t>
        </is>
      </c>
      <c r="AD31" s="2" t="inlineStr">
        <is>
          <t>Supports the missed lead recovery idea: Contact page enquiries by phone/email</t>
        </is>
      </c>
      <c r="AE31" s="2" t="inlineStr">
        <is>
          <t>I came across Energy Consultants of Wisconsin and noticed your company has offered solar, electric and lighting services in Wisconsin since 1989.</t>
        </is>
      </c>
      <c r="AF31" s="2" t="inlineStr">
        <is>
          <t>Solar lead follow up idea</t>
        </is>
      </c>
      <c r="AG31" s="2" t="inlineStr">
        <is>
          <t>Hi Jeff,
I came across Energy Consultants of Wisconsin and noticed your company has offered solar, electric and lighting services in Wisconsin since 1989.
I work with businesses on AI and workflow automation. For a solar company like Energy Consultants of Wisconsin,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31" s="2" t="inlineStr">
        <is>
          <t>https://www.ecwlighting.com/services/solar-installation/</t>
        </is>
      </c>
      <c r="AI31" s="2" t="inlineStr">
        <is>
          <t>Email on contact page; solar installation service page; founded 1989; phone 262-893-2471.</t>
        </is>
      </c>
      <c r="AJ31" s="2" t="inlineStr">
        <is>
          <t>Company website (contact page)</t>
        </is>
      </c>
      <c r="AK31" s="2" t="inlineStr">
        <is>
          <t>Medium</t>
        </is>
      </c>
      <c r="AL31" s="2" t="inlineStr">
        <is>
          <t>Ready</t>
        </is>
      </c>
      <c r="AM31" s="2" t="inlineStr">
        <is>
          <t>Not Sent</t>
        </is>
      </c>
      <c r="AN31" s="2" t="n"/>
      <c r="AO31" s="2" t="inlineStr">
        <is>
          <t>Batch 1 | Owner name from ZoomInfo result title 'Owner at Energy Consultants of Wisconsin'. | Email source: http://www.ecwlighting.com/contact-us/</t>
        </is>
      </c>
    </row>
    <row r="32">
      <c r="A32" s="2" t="inlineStr"/>
      <c r="B32" s="2" t="inlineStr">
        <is>
          <t>Nebraska Solar Providers</t>
        </is>
      </c>
      <c r="C32" s="2" t="inlineStr"/>
      <c r="D32" s="2" t="inlineStr"/>
      <c r="E32" s="2" t="inlineStr">
        <is>
          <t>j.shaw@nebraskasolarproviders.com</t>
        </is>
      </c>
      <c r="F32" s="2" t="inlineStr">
        <is>
          <t>United States</t>
        </is>
      </c>
      <c r="G32" s="2" t="inlineStr">
        <is>
          <t>Nebraska</t>
        </is>
      </c>
      <c r="H32" s="2" t="inlineStr">
        <is>
          <t>Lincoln</t>
        </is>
      </c>
      <c r="I32" s="2" t="inlineStr">
        <is>
          <t>https://www.nebraskasolarproviders.com/</t>
        </is>
      </c>
      <c r="J32" s="2" t="inlineStr">
        <is>
          <t>Residential solar installer</t>
        </is>
      </c>
      <c r="K32" s="2" t="inlineStr">
        <is>
          <t>Solar PV</t>
        </is>
      </c>
      <c r="L32" s="2" t="inlineStr">
        <is>
          <t>Unknown</t>
        </is>
      </c>
      <c r="M32" s="2" t="inlineStr">
        <is>
          <t>Unknown</t>
        </is>
      </c>
      <c r="N32" s="2" t="inlineStr">
        <is>
          <t>Nebraska</t>
        </is>
      </c>
      <c r="O32" s="2" t="inlineStr">
        <is>
          <t>Unknown</t>
        </is>
      </c>
      <c r="P32" s="2" t="inlineStr">
        <is>
          <t>Unknown</t>
        </is>
      </c>
      <c r="Q32" s="2" t="inlineStr">
        <is>
          <t>Unknown</t>
        </is>
      </c>
      <c r="R32" s="2" t="inlineStr">
        <is>
          <t>Unknown</t>
        </is>
      </c>
      <c r="S32" s="2" t="inlineStr">
        <is>
          <t>Unknown</t>
        </is>
      </c>
      <c r="T32" s="2" t="inlineStr">
        <is>
          <t>Unknown</t>
        </is>
      </c>
      <c r="U32" s="2" t="inlineStr">
        <is>
          <t>Unknown</t>
        </is>
      </c>
      <c r="V32" s="2" t="inlineStr">
        <is>
          <t>Website; phone</t>
        </is>
      </c>
      <c r="W32" s="2" t="inlineStr">
        <is>
          <t>None found</t>
        </is>
      </c>
      <c r="X32" s="2" t="inlineStr">
        <is>
          <t>None found</t>
        </is>
      </c>
      <c r="Y32" s="2" t="inlineStr">
        <is>
          <t>None found</t>
        </is>
      </c>
      <c r="Z32" s="2" t="inlineStr">
        <is>
          <t>Unknown</t>
        </is>
      </c>
      <c r="AA32" s="2" t="inlineStr">
        <is>
          <t>Lead qualification chatbot</t>
        </is>
      </c>
      <c r="AB32" s="2" t="inlineStr">
        <is>
          <t>Low</t>
        </is>
      </c>
      <c r="AC32" s="2" t="inlineStr">
        <is>
          <t>Your company is listed on the City of Lincoln's SOLAR emPOWERED professional list.</t>
        </is>
      </c>
      <c r="AD32" s="2" t="inlineStr">
        <is>
          <t>Supports the lead qualification chatbot idea: Unknown</t>
        </is>
      </c>
      <c r="AE32" s="2" t="inlineStr">
        <is>
          <t>I noticed your company is listed on the City of Lincoln's SOLAR emPOWERED professional list.</t>
        </is>
      </c>
      <c r="AF32" s="2" t="inlineStr">
        <is>
          <t>Qualifying solar enquiries at Nebraska Solar Providers</t>
        </is>
      </c>
      <c r="AG32" s="2" t="inlineStr">
        <is>
          <t>Hi Nebraska Solar Providers team,
I noticed your company is listed on the City of Lincoln's SOLAR emPOWERED professional list.
I work with businesses on AI and workflow automation. For a solar company like Nebraska Solar Providers,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32" s="2" t="inlineStr">
        <is>
          <t>https://www.nebraskasolarproviders.com/</t>
        </is>
      </c>
      <c r="AI32" s="2" t="inlineStr">
        <is>
          <t>Search summary: Lincoln NE, 308-920-0315, j.shaw@nebraskasolarproviders.com; company website in links.</t>
        </is>
      </c>
      <c r="AJ32" s="2" t="inlineStr">
        <is>
          <t>Municipal installer list</t>
        </is>
      </c>
      <c r="AK32" s="2" t="inlineStr">
        <is>
          <t>Low</t>
        </is>
      </c>
      <c r="AL32" s="2" t="inlineStr">
        <is>
          <t>Review</t>
        </is>
      </c>
      <c r="AM32" s="2" t="inlineStr">
        <is>
          <t>Not Sent</t>
        </is>
      </c>
      <c r="AN32" s="2" t="n"/>
      <c r="AO32" s="2" t="inlineStr">
        <is>
          <t>Batch 1 | Named email; role not confirmed. | Email seen in search results but not independently corroborated; verify on website before sending. | Email source: https://app.lincoln.ne.gov/city/mayor/energy/pdf/SolarProfessionalList.pdf</t>
        </is>
      </c>
    </row>
    <row r="33">
      <c r="A33" s="2" t="inlineStr"/>
      <c r="B33" s="2" t="inlineStr">
        <is>
          <t>Rooftop Power</t>
        </is>
      </c>
      <c r="C33" s="2" t="inlineStr"/>
      <c r="D33" s="2" t="inlineStr"/>
      <c r="E33" s="2" t="inlineStr"/>
      <c r="F33" s="2" t="inlineStr">
        <is>
          <t>United States</t>
        </is>
      </c>
      <c r="G33" s="2" t="inlineStr">
        <is>
          <t>Massachusetts</t>
        </is>
      </c>
      <c r="H33" s="2" t="inlineStr"/>
      <c r="I33" s="2" t="inlineStr">
        <is>
          <t>https://www.rooftoppowerco.com/</t>
        </is>
      </c>
      <c r="J33" s="2" t="inlineStr">
        <is>
          <t>Residential solar installer</t>
        </is>
      </c>
      <c r="K33" s="2" t="inlineStr">
        <is>
          <t>Solar PV</t>
        </is>
      </c>
      <c r="L33" s="2" t="inlineStr">
        <is>
          <t>Residential</t>
        </is>
      </c>
      <c r="M33" s="2" t="inlineStr">
        <is>
          <t>Unknown</t>
        </is>
      </c>
      <c r="N33" s="2" t="inlineStr">
        <is>
          <t>Massachusetts (Eversource &amp; National Grid territories)</t>
        </is>
      </c>
      <c r="O33" s="2" t="inlineStr">
        <is>
          <t>Unknown</t>
        </is>
      </c>
      <c r="P33" s="2" t="inlineStr">
        <is>
          <t>Yes</t>
        </is>
      </c>
      <c r="Q33" s="2" t="inlineStr">
        <is>
          <t>Unknown</t>
        </is>
      </c>
      <c r="R33" s="2" t="inlineStr">
        <is>
          <t>Unknown</t>
        </is>
      </c>
      <c r="S33" s="2" t="inlineStr">
        <is>
          <t>Unknown</t>
        </is>
      </c>
      <c r="T33" s="2" t="inlineStr">
        <is>
          <t>Unknown</t>
        </is>
      </c>
      <c r="U33" s="2" t="inlineStr">
        <is>
          <t>Unknown</t>
        </is>
      </c>
      <c r="V33" s="2" t="inlineStr">
        <is>
          <t>Website; phone</t>
        </is>
      </c>
      <c r="W33" s="2" t="inlineStr">
        <is>
          <t>None found</t>
        </is>
      </c>
      <c r="X33" s="2" t="inlineStr">
        <is>
          <t>None found</t>
        </is>
      </c>
      <c r="Y33" s="2" t="inlineStr">
        <is>
          <t>None found</t>
        </is>
      </c>
      <c r="Z33" s="2" t="inlineStr">
        <is>
          <t>Website quote/contact form + phone</t>
        </is>
      </c>
      <c r="AA33" s="2" t="inlineStr">
        <is>
          <t>Quote request automation</t>
        </is>
      </c>
      <c r="AB33" s="2" t="inlineStr">
        <is>
          <t>High</t>
        </is>
      </c>
      <c r="AC33" s="2" t="inlineStr">
        <is>
          <t>Your site says you use your own crews and offer $0-upfront solar in Massachusetts.</t>
        </is>
      </c>
      <c r="AD33" s="2" t="inlineStr">
        <is>
          <t>Supports the quote request automation idea: Website quote/contact form + phone</t>
        </is>
      </c>
      <c r="AE33" s="2" t="inlineStr">
        <is>
          <t>I noticed your site says you use your own crews and offer $0-upfront solar in Massachusetts.</t>
        </is>
      </c>
      <c r="AF33" s="2" t="inlineStr">
        <is>
          <t>Quote requests at Rooftop Power</t>
        </is>
      </c>
      <c r="AG33" s="2" t="inlineStr">
        <is>
          <t>Hi Rooftop Power team,
I noticed your site says you use your own crews and offer $0-upfront solar in Massachusetts.
I work with businesses on AI and workflow automation. For a solar company like Rooftop Power,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33" s="2" t="inlineStr">
        <is>
          <t>https://www.rooftoppowerco.com/service-areas/massachusetts/</t>
        </is>
      </c>
      <c r="AI33" s="2" t="inlineStr">
        <is>
          <t>Page title 'Massachusetts Solar Installer | Our Own Crews, BBB A+'; $0 upfront options; 4.8-star rating.</t>
        </is>
      </c>
      <c r="AJ33" s="2" t="inlineStr">
        <is>
          <t>Company website</t>
        </is>
      </c>
      <c r="AK33" s="2" t="inlineStr">
        <is>
          <t>Medium</t>
        </is>
      </c>
      <c r="AL33" s="2" t="inlineStr">
        <is>
          <t>Reject</t>
        </is>
      </c>
      <c r="AM33" s="2" t="inlineStr">
        <is>
          <t>Not Sent</t>
        </is>
      </c>
      <c r="AN33" s="2" t="n"/>
      <c r="AO33" s="2" t="inlineStr">
        <is>
          <t>Batch 1 | No email seen in search results; search budget exhausted before a contact-page lookup. | No publicly verified business email found.</t>
        </is>
      </c>
    </row>
    <row r="34">
      <c r="A34" s="2" t="inlineStr"/>
      <c r="B34" s="2" t="inlineStr">
        <is>
          <t>Trinity Solar</t>
        </is>
      </c>
      <c r="C34" s="2" t="inlineStr"/>
      <c r="D34" s="2" t="inlineStr"/>
      <c r="E34" s="2" t="inlineStr"/>
      <c r="F34" s="2" t="inlineStr">
        <is>
          <t>United States</t>
        </is>
      </c>
      <c r="G34" s="2" t="inlineStr">
        <is>
          <t>New Jersey</t>
        </is>
      </c>
      <c r="H34" s="2" t="inlineStr"/>
      <c r="I34" s="2" t="inlineStr">
        <is>
          <t>https://www.trinitysolar.com/</t>
        </is>
      </c>
      <c r="J34" s="2" t="inlineStr">
        <is>
          <t>Roofing + solar contractor</t>
        </is>
      </c>
      <c r="K34" s="2" t="inlineStr">
        <is>
          <t>Solar PV, roofing</t>
        </is>
      </c>
      <c r="L34" s="2" t="inlineStr">
        <is>
          <t>Residential &amp; Commercial</t>
        </is>
      </c>
      <c r="M34" s="2" t="inlineStr">
        <is>
          <t>Unknown</t>
        </is>
      </c>
      <c r="N34" s="2" t="inlineStr">
        <is>
          <t>New Jersey, Pennsylvania and other states</t>
        </is>
      </c>
      <c r="O34" s="2" t="inlineStr">
        <is>
          <t>Unknown</t>
        </is>
      </c>
      <c r="P34" s="2" t="inlineStr">
        <is>
          <t>Unknown</t>
        </is>
      </c>
      <c r="Q34" s="2" t="inlineStr">
        <is>
          <t>Unknown</t>
        </is>
      </c>
      <c r="R34" s="2" t="inlineStr">
        <is>
          <t>Unknown</t>
        </is>
      </c>
      <c r="S34" s="2" t="inlineStr">
        <is>
          <t>Unknown</t>
        </is>
      </c>
      <c r="T34" s="2" t="inlineStr">
        <is>
          <t>Unknown</t>
        </is>
      </c>
      <c r="U34" s="2" t="inlineStr">
        <is>
          <t>Unknown</t>
        </is>
      </c>
      <c r="V34" s="2" t="inlineStr">
        <is>
          <t>Website; phone</t>
        </is>
      </c>
      <c r="W34" s="2" t="inlineStr">
        <is>
          <t>None found</t>
        </is>
      </c>
      <c r="X34" s="2" t="inlineStr">
        <is>
          <t>Multi-state service areas</t>
        </is>
      </c>
      <c r="Y34" s="2" t="inlineStr">
        <is>
          <t>None found</t>
        </is>
      </c>
      <c r="Z34" s="2" t="inlineStr">
        <is>
          <t>Phone/website enquiries</t>
        </is>
      </c>
      <c r="AA34" s="2" t="inlineStr">
        <is>
          <t>Quote request automation</t>
        </is>
      </c>
      <c r="AB34" s="2" t="inlineStr">
        <is>
          <t>High</t>
        </is>
      </c>
      <c r="AC34" s="2" t="inlineStr">
        <is>
          <t>Your site pairs solar panels with roofing solutions for New Jersey homeowners.</t>
        </is>
      </c>
      <c r="AD34" s="2" t="inlineStr">
        <is>
          <t>Supports the quote request automation idea: Phone/website enquiries</t>
        </is>
      </c>
      <c r="AE34" s="2" t="inlineStr">
        <is>
          <t>I came across Trinity Solar and noticed your site pairs solar panels with roofing solutions for New Jersey homeowners.</t>
        </is>
      </c>
      <c r="AF34" s="2" t="inlineStr">
        <is>
          <t>A solar quote workflow idea</t>
        </is>
      </c>
      <c r="AG34" s="2" t="inlineStr">
        <is>
          <t>Hi Trinity Solar team,
I came across Trinity Solar and noticed your site pairs solar panels with roofing solutions for New Jersey homeowners.
I work with businesses on AI and workflow automation. For a solar company like Trinity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34" s="2" t="inlineStr">
        <is>
          <t>https://www.trinitysolar.com/service-areas/new-jersey</t>
        </is>
      </c>
      <c r="AI34" s="2" t="inlineStr">
        <is>
          <t>Service-area page 'New Jersey solar panels and roofing solutions'; PA office at 300 Corporate Dr, Reading.</t>
        </is>
      </c>
      <c r="AJ34" s="2" t="inlineStr">
        <is>
          <t>Company website</t>
        </is>
      </c>
      <c r="AK34" s="2" t="inlineStr">
        <is>
          <t>Medium</t>
        </is>
      </c>
      <c r="AL34" s="2" t="inlineStr">
        <is>
          <t>Reject</t>
        </is>
      </c>
      <c r="AM34" s="2" t="inlineStr">
        <is>
          <t>Not Sent</t>
        </is>
      </c>
      <c r="AN34" s="2" t="n"/>
      <c r="AO34" s="2" t="inlineStr">
        <is>
          <t>Batch 1 | No email seen in search results; search budget exhausted before a contact-page lookup. | No publicly verified business email found.</t>
        </is>
      </c>
    </row>
    <row r="35">
      <c r="A35" s="2" t="inlineStr"/>
      <c r="B35" s="2" t="inlineStr">
        <is>
          <t>YellowLite</t>
        </is>
      </c>
      <c r="C35" s="2" t="inlineStr"/>
      <c r="D35" s="2" t="inlineStr"/>
      <c r="E35" s="2" t="inlineStr"/>
      <c r="F35" s="2" t="inlineStr">
        <is>
          <t>United States</t>
        </is>
      </c>
      <c r="G35" s="2" t="inlineStr">
        <is>
          <t>Ohio</t>
        </is>
      </c>
      <c r="H35" s="2" t="inlineStr"/>
      <c r="I35" s="2" t="inlineStr">
        <is>
          <t>https://www.yellowlite.com/</t>
        </is>
      </c>
      <c r="J35" s="2" t="inlineStr">
        <is>
          <t>Residential &amp; commercial solar installer</t>
        </is>
      </c>
      <c r="K35" s="2" t="inlineStr">
        <is>
          <t>Solar PV</t>
        </is>
      </c>
      <c r="L35" s="2" t="inlineStr">
        <is>
          <t>Residential &amp; Commercial</t>
        </is>
      </c>
      <c r="M35" s="2" t="inlineStr">
        <is>
          <t>Unknown</t>
        </is>
      </c>
      <c r="N35" s="2" t="inlineStr">
        <is>
          <t>Ohio</t>
        </is>
      </c>
      <c r="O35" s="2" t="inlineStr">
        <is>
          <t>Unknown</t>
        </is>
      </c>
      <c r="P35" s="2" t="inlineStr">
        <is>
          <t>Unknown</t>
        </is>
      </c>
      <c r="Q35" s="2" t="inlineStr">
        <is>
          <t>Unknown</t>
        </is>
      </c>
      <c r="R35" s="2" t="inlineStr">
        <is>
          <t>Unknown</t>
        </is>
      </c>
      <c r="S35" s="2" t="inlineStr">
        <is>
          <t>Unknown</t>
        </is>
      </c>
      <c r="T35" s="2" t="inlineStr">
        <is>
          <t>Unknown</t>
        </is>
      </c>
      <c r="U35" s="2" t="inlineStr">
        <is>
          <t>Unknown</t>
        </is>
      </c>
      <c r="V35" s="2" t="inlineStr">
        <is>
          <t>Website; phone</t>
        </is>
      </c>
      <c r="W35" s="2" t="inlineStr">
        <is>
          <t>None found</t>
        </is>
      </c>
      <c r="X35" s="2" t="inlineStr">
        <is>
          <t>None found</t>
        </is>
      </c>
      <c r="Y35" s="2" t="inlineStr">
        <is>
          <t>None found</t>
        </is>
      </c>
      <c r="Z35" s="2" t="inlineStr">
        <is>
          <t>Phone/website enquiries</t>
        </is>
      </c>
      <c r="AA35" s="2" t="inlineStr">
        <is>
          <t>Quote request automation</t>
        </is>
      </c>
      <c r="AB35" s="2" t="inlineStr">
        <is>
          <t>Medium</t>
        </is>
      </c>
      <c r="AC35" s="2" t="inlineStr">
        <is>
          <t>Your site highlights that you are a NABCEP-certified solar installer in Ohio.</t>
        </is>
      </c>
      <c r="AD35" s="2" t="inlineStr">
        <is>
          <t>Supports the quote request automation idea: Phone/website enquiries</t>
        </is>
      </c>
      <c r="AE35" s="2" t="inlineStr">
        <is>
          <t>I noticed your site highlights that you are a NABCEP-certified solar installer in Ohio.</t>
        </is>
      </c>
      <c r="AF35" s="2" t="inlineStr">
        <is>
          <t>Quote requests at YellowLite</t>
        </is>
      </c>
      <c r="AG35" s="2" t="inlineStr">
        <is>
          <t>Hi YellowLite team,
I noticed your site highlights that you are a NABCEP-certified solar installer in Ohio.
I work with businesses on AI and workflow automation. For a solar company like YellowLite,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35" s="2" t="inlineStr">
        <is>
          <t>https://www.yellowlite.com/</t>
        </is>
      </c>
      <c r="AI35" s="2" t="inlineStr">
        <is>
          <t>Site title 'NABCEP-Certified Solar Installer in Ohio'.</t>
        </is>
      </c>
      <c r="AJ35" s="2" t="inlineStr">
        <is>
          <t>Company website</t>
        </is>
      </c>
      <c r="AK35" s="2" t="inlineStr">
        <is>
          <t>Medium</t>
        </is>
      </c>
      <c r="AL35" s="2" t="inlineStr">
        <is>
          <t>Reject</t>
        </is>
      </c>
      <c r="AM35" s="2" t="inlineStr">
        <is>
          <t>Not Sent</t>
        </is>
      </c>
      <c r="AN35" s="2" t="n"/>
      <c r="AO35" s="2" t="inlineStr">
        <is>
          <t>Batch 1 | No email seen in search results; search budget exhausted before a contact-page lookup. | No publicly verified business email found.</t>
        </is>
      </c>
    </row>
    <row r="36">
      <c r="A36" s="2" t="inlineStr"/>
      <c r="B36" s="2" t="inlineStr">
        <is>
          <t>Ohio Power Solutions</t>
        </is>
      </c>
      <c r="C36" s="2" t="inlineStr"/>
      <c r="D36" s="2" t="inlineStr"/>
      <c r="E36" s="2" t="inlineStr"/>
      <c r="F36" s="2" t="inlineStr">
        <is>
          <t>United States</t>
        </is>
      </c>
      <c r="G36" s="2" t="inlineStr">
        <is>
          <t>Ohio</t>
        </is>
      </c>
      <c r="H36" s="2" t="inlineStr">
        <is>
          <t>Columbus</t>
        </is>
      </c>
      <c r="I36" s="2" t="inlineStr">
        <is>
          <t>https://www.ohiopowersolutions.com/</t>
        </is>
      </c>
      <c r="J36" s="2" t="inlineStr">
        <is>
          <t>Residential solar installer</t>
        </is>
      </c>
      <c r="K36" s="2" t="inlineStr">
        <is>
          <t>Solar PV</t>
        </is>
      </c>
      <c r="L36" s="2" t="inlineStr">
        <is>
          <t>Residential</t>
        </is>
      </c>
      <c r="M36" s="2" t="inlineStr">
        <is>
          <t>Unknown</t>
        </is>
      </c>
      <c r="N36" s="2" t="inlineStr">
        <is>
          <t>Central Ohio</t>
        </is>
      </c>
      <c r="O36" s="2" t="inlineStr">
        <is>
          <t>Unknown</t>
        </is>
      </c>
      <c r="P36" s="2" t="inlineStr">
        <is>
          <t>Unknown</t>
        </is>
      </c>
      <c r="Q36" s="2" t="inlineStr">
        <is>
          <t>Unknown</t>
        </is>
      </c>
      <c r="R36" s="2" t="inlineStr">
        <is>
          <t>Unknown</t>
        </is>
      </c>
      <c r="S36" s="2" t="inlineStr">
        <is>
          <t>Unknown</t>
        </is>
      </c>
      <c r="T36" s="2" t="inlineStr">
        <is>
          <t>Unknown</t>
        </is>
      </c>
      <c r="U36" s="2" t="inlineStr">
        <is>
          <t>Unknown</t>
        </is>
      </c>
      <c r="V36" s="2" t="inlineStr">
        <is>
          <t>Website; phone</t>
        </is>
      </c>
      <c r="W36" s="2" t="inlineStr">
        <is>
          <t>None found</t>
        </is>
      </c>
      <c r="X36" s="2" t="inlineStr">
        <is>
          <t>None found</t>
        </is>
      </c>
      <c r="Y36" s="2" t="inlineStr">
        <is>
          <t>None found</t>
        </is>
      </c>
      <c r="Z36" s="2" t="inlineStr">
        <is>
          <t>Phone/website enquiries</t>
        </is>
      </c>
      <c r="AA36" s="2" t="inlineStr">
        <is>
          <t>Quote request automation</t>
        </is>
      </c>
      <c r="AB36" s="2" t="inlineStr">
        <is>
          <t>Medium</t>
        </is>
      </c>
      <c r="AC36" s="2" t="inlineStr">
        <is>
          <t>Your company installs solar panels for homeowners around Columbus, Ohio.</t>
        </is>
      </c>
      <c r="AD36" s="2" t="inlineStr">
        <is>
          <t>Supports the quote request automation idea: Phone/website enquiries</t>
        </is>
      </c>
      <c r="AE36" s="2" t="inlineStr">
        <is>
          <t>I was looking at your website and saw that your company installs solar panels for homeowners around Columbus, Ohio.</t>
        </is>
      </c>
      <c r="AF36" s="2" t="inlineStr">
        <is>
          <t>A solar quote workflow idea</t>
        </is>
      </c>
      <c r="AG36" s="2" t="inlineStr">
        <is>
          <t>Hi Ohio Power Solutions team,
I was looking at your website and saw that your company installs solar panels for homeowners around Columbus, Ohio.
I work with businesses on AI and workflow automation. For a solar company like Ohio Power Solutions,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36" s="2" t="inlineStr">
        <is>
          <t>https://www.ohiopowersolutions.com/solar-installation</t>
        </is>
      </c>
      <c r="AI36" s="2" t="inlineStr">
        <is>
          <t>Site title 'Solar Panel Company | Ohio Power Solutions | Columbus'.</t>
        </is>
      </c>
      <c r="AJ36" s="2" t="inlineStr">
        <is>
          <t>Company website</t>
        </is>
      </c>
      <c r="AK36" s="2" t="inlineStr">
        <is>
          <t>Medium</t>
        </is>
      </c>
      <c r="AL36" s="2" t="inlineStr">
        <is>
          <t>Reject</t>
        </is>
      </c>
      <c r="AM36" s="2" t="inlineStr">
        <is>
          <t>Not Sent</t>
        </is>
      </c>
      <c r="AN36" s="2" t="n"/>
      <c r="AO36" s="2" t="inlineStr">
        <is>
          <t>Batch 1 | No email seen in search results; search budget exhausted before a contact-page lookup. | No publicly verified business email found.</t>
        </is>
      </c>
    </row>
    <row r="37">
      <c r="A37" s="2" t="inlineStr"/>
      <c r="B37" s="2" t="inlineStr">
        <is>
          <t>Mh3 Solar</t>
        </is>
      </c>
      <c r="C37" s="2" t="inlineStr"/>
      <c r="D37" s="2" t="inlineStr"/>
      <c r="E37" s="2" t="inlineStr"/>
      <c r="F37" s="2" t="inlineStr">
        <is>
          <t>United States</t>
        </is>
      </c>
      <c r="G37" s="2" t="inlineStr">
        <is>
          <t>Ohio</t>
        </is>
      </c>
      <c r="H37" s="2" t="inlineStr"/>
      <c r="I37" s="2" t="inlineStr">
        <is>
          <t>https://www.mh3solar.com/</t>
        </is>
      </c>
      <c r="J37" s="2" t="inlineStr">
        <is>
          <t>Residential &amp; commercial solar installer</t>
        </is>
      </c>
      <c r="K37" s="2" t="inlineStr">
        <is>
          <t>Solar PV</t>
        </is>
      </c>
      <c r="L37" s="2" t="inlineStr">
        <is>
          <t>Residential, Commercial &amp; Agricultural</t>
        </is>
      </c>
      <c r="M37" s="2" t="inlineStr">
        <is>
          <t>Unknown</t>
        </is>
      </c>
      <c r="N37" s="2" t="inlineStr">
        <is>
          <t>All of Ohio</t>
        </is>
      </c>
      <c r="O37" s="2" t="inlineStr">
        <is>
          <t>Unknown</t>
        </is>
      </c>
      <c r="P37" s="2" t="inlineStr">
        <is>
          <t>Unknown</t>
        </is>
      </c>
      <c r="Q37" s="2" t="inlineStr">
        <is>
          <t>Unknown</t>
        </is>
      </c>
      <c r="R37" s="2" t="inlineStr">
        <is>
          <t>Unknown</t>
        </is>
      </c>
      <c r="S37" s="2" t="inlineStr">
        <is>
          <t>Unknown</t>
        </is>
      </c>
      <c r="T37" s="2" t="inlineStr">
        <is>
          <t>Unknown</t>
        </is>
      </c>
      <c r="U37" s="2" t="inlineStr">
        <is>
          <t>Unknown</t>
        </is>
      </c>
      <c r="V37" s="2" t="inlineStr">
        <is>
          <t>Website; phone</t>
        </is>
      </c>
      <c r="W37" s="2" t="inlineStr">
        <is>
          <t>None found</t>
        </is>
      </c>
      <c r="X37" s="2" t="inlineStr">
        <is>
          <t>None found</t>
        </is>
      </c>
      <c r="Y37" s="2" t="inlineStr">
        <is>
          <t>None found</t>
        </is>
      </c>
      <c r="Z37" s="2" t="inlineStr">
        <is>
          <t>Phone/website enquiries</t>
        </is>
      </c>
      <c r="AA37" s="2" t="inlineStr">
        <is>
          <t>Quote request automation</t>
        </is>
      </c>
      <c r="AB37" s="2" t="inlineStr">
        <is>
          <t>Low</t>
        </is>
      </c>
      <c r="AC37" s="2" t="inlineStr">
        <is>
          <t>Your family-owned company is based in Knox County and serves all of Ohio.</t>
        </is>
      </c>
      <c r="AD37" s="2" t="inlineStr">
        <is>
          <t>Supports the quote request automation idea: Phone/website enquiries</t>
        </is>
      </c>
      <c r="AE37" s="2" t="inlineStr">
        <is>
          <t>I came across Mh3 Solar and noticed your family-owned company is based in Knox County and serves all of Ohio.</t>
        </is>
      </c>
      <c r="AF37" s="2" t="inlineStr">
        <is>
          <t>Quote requests at Mh3 Solar</t>
        </is>
      </c>
      <c r="AG37" s="2" t="inlineStr">
        <is>
          <t>Hi Mh3 Solar team,
I came across Mh3 Solar and noticed your family-owned company is based in Knox County and serves all of Ohio.
I work with businesses on AI and workflow automation. For a solar company like Mh3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37" s="2" t="inlineStr">
        <is>
          <t>https://www.mh3solar.com/</t>
        </is>
      </c>
      <c r="AI37" s="2" t="inlineStr">
        <is>
          <t>Family-owned solar company in Knox County serving all of Ohio (summary); site title 'Ohio Solar Installation'.</t>
        </is>
      </c>
      <c r="AJ37" s="2" t="inlineStr">
        <is>
          <t>Company website</t>
        </is>
      </c>
      <c r="AK37" s="2" t="inlineStr">
        <is>
          <t>Medium</t>
        </is>
      </c>
      <c r="AL37" s="2" t="inlineStr">
        <is>
          <t>Reject</t>
        </is>
      </c>
      <c r="AM37" s="2" t="inlineStr">
        <is>
          <t>Not Sent</t>
        </is>
      </c>
      <c r="AN37" s="2" t="n"/>
      <c r="AO37" s="2" t="inlineStr">
        <is>
          <t>Batch 1 | No email seen in search results; search budget exhausted before a contact-page lookup. | No publicly verified business email found.</t>
        </is>
      </c>
    </row>
    <row r="38">
      <c r="A38" s="2" t="inlineStr"/>
      <c r="B38" s="2" t="inlineStr">
        <is>
          <t>All Energy Solar</t>
        </is>
      </c>
      <c r="C38" s="2" t="inlineStr"/>
      <c r="D38" s="2" t="inlineStr"/>
      <c r="E38" s="2" t="inlineStr"/>
      <c r="F38" s="2" t="inlineStr">
        <is>
          <t>United States</t>
        </is>
      </c>
      <c r="G38" s="2" t="inlineStr">
        <is>
          <t>Minnesota</t>
        </is>
      </c>
      <c r="H38" s="2" t="inlineStr"/>
      <c r="I38" s="2" t="inlineStr">
        <is>
          <t>https://www.allenergysolar.com/</t>
        </is>
      </c>
      <c r="J38" s="2" t="inlineStr">
        <is>
          <t>Residential &amp; commercial solar installer</t>
        </is>
      </c>
      <c r="K38" s="2" t="inlineStr">
        <is>
          <t>Solar PV</t>
        </is>
      </c>
      <c r="L38" s="2" t="inlineStr">
        <is>
          <t>Residential &amp; Commercial</t>
        </is>
      </c>
      <c r="M38" s="2" t="inlineStr">
        <is>
          <t>~11,000 projects completed (per search summary)</t>
        </is>
      </c>
      <c r="N38" s="2" t="inlineStr">
        <is>
          <t>Minnesota, Wisconsin and more</t>
        </is>
      </c>
      <c r="O38" s="2" t="inlineStr">
        <is>
          <t>Unknown</t>
        </is>
      </c>
      <c r="P38" s="2" t="inlineStr">
        <is>
          <t>Unknown</t>
        </is>
      </c>
      <c r="Q38" s="2" t="inlineStr">
        <is>
          <t>Unknown</t>
        </is>
      </c>
      <c r="R38" s="2" t="inlineStr">
        <is>
          <t>Unknown</t>
        </is>
      </c>
      <c r="S38" s="2" t="inlineStr">
        <is>
          <t>Unknown</t>
        </is>
      </c>
      <c r="T38" s="2" t="inlineStr">
        <is>
          <t>Unknown</t>
        </is>
      </c>
      <c r="U38" s="2" t="inlineStr">
        <is>
          <t>Unknown</t>
        </is>
      </c>
      <c r="V38" s="2" t="inlineStr">
        <is>
          <t>Website; phone</t>
        </is>
      </c>
      <c r="W38" s="2" t="inlineStr">
        <is>
          <t>None found</t>
        </is>
      </c>
      <c r="X38" s="2" t="inlineStr">
        <is>
          <t>Multi-state service areas</t>
        </is>
      </c>
      <c r="Y38" s="2" t="inlineStr">
        <is>
          <t>None found</t>
        </is>
      </c>
      <c r="Z38" s="2" t="inlineStr">
        <is>
          <t>Phone/website enquiries</t>
        </is>
      </c>
      <c r="AA38" s="2" t="inlineStr">
        <is>
          <t>Quote request automation</t>
        </is>
      </c>
      <c r="AB38" s="2" t="inlineStr">
        <is>
          <t>High</t>
        </is>
      </c>
      <c r="AC38" s="2" t="inlineStr">
        <is>
          <t>Your company has completed close to 11,000 solar projects since 2009.</t>
        </is>
      </c>
      <c r="AD38" s="2" t="inlineStr">
        <is>
          <t>Supports the quote request automation idea: Phone/website enquiries</t>
        </is>
      </c>
      <c r="AE38" s="2" t="inlineStr">
        <is>
          <t>I noticed your company has completed close to 11,000 solar projects since 2009.</t>
        </is>
      </c>
      <c r="AF38" s="2" t="inlineStr">
        <is>
          <t>A solar quote workflow idea</t>
        </is>
      </c>
      <c r="AG38" s="2" t="inlineStr">
        <is>
          <t>Hi All Energy Solar team,
I noticed your company has completed close to 11,000 solar projects since 2009.
I work with businesses on AI and workflow automation. For a solar company like All Energy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38" s="2" t="inlineStr">
        <is>
          <t>https://www.allenergysolar.com/company/service-areas/minnesota/</t>
        </is>
      </c>
      <c r="AI38" s="2" t="inlineStr">
        <is>
          <t>Nearly 11,000 solar projects since 2009 (summary); MN and WI service-area pages.</t>
        </is>
      </c>
      <c r="AJ38" s="2" t="inlineStr">
        <is>
          <t>Company website</t>
        </is>
      </c>
      <c r="AK38" s="2" t="inlineStr">
        <is>
          <t>Medium</t>
        </is>
      </c>
      <c r="AL38" s="2" t="inlineStr">
        <is>
          <t>Reject</t>
        </is>
      </c>
      <c r="AM38" s="2" t="inlineStr">
        <is>
          <t>Not Sent</t>
        </is>
      </c>
      <c r="AN38" s="2" t="n"/>
      <c r="AO38" s="2" t="inlineStr">
        <is>
          <t>Batch 1 | No email seen in search results; search budget exhausted before a contact-page lookup. | No publicly verified business email found.</t>
        </is>
      </c>
    </row>
    <row r="39">
      <c r="A39" s="2" t="inlineStr"/>
      <c r="B39" s="2" t="inlineStr">
        <is>
          <t>TruNorth Solar</t>
        </is>
      </c>
      <c r="C39" s="2" t="inlineStr"/>
      <c r="D39" s="2" t="inlineStr"/>
      <c r="E39" s="2" t="inlineStr"/>
      <c r="F39" s="2" t="inlineStr">
        <is>
          <t>United States</t>
        </is>
      </c>
      <c r="G39" s="2" t="inlineStr">
        <is>
          <t>Minnesota</t>
        </is>
      </c>
      <c r="H39" s="2" t="inlineStr">
        <is>
          <t>Arden Hills</t>
        </is>
      </c>
      <c r="I39" s="2" t="inlineStr">
        <is>
          <t>https://trunorthsolar.com/</t>
        </is>
      </c>
      <c r="J39" s="2" t="inlineStr">
        <is>
          <t>Residential &amp; commercial solar installer</t>
        </is>
      </c>
      <c r="K39" s="2" t="inlineStr">
        <is>
          <t>Solar PV</t>
        </is>
      </c>
      <c r="L39" s="2" t="inlineStr">
        <is>
          <t>Residential &amp; Commercial</t>
        </is>
      </c>
      <c r="M39" s="2" t="inlineStr">
        <is>
          <t>Unknown</t>
        </is>
      </c>
      <c r="N39" s="2" t="inlineStr">
        <is>
          <t>Minnesota</t>
        </is>
      </c>
      <c r="O39" s="2" t="inlineStr">
        <is>
          <t>Unknown</t>
        </is>
      </c>
      <c r="P39" s="2" t="inlineStr">
        <is>
          <t>Yes</t>
        </is>
      </c>
      <c r="Q39" s="2" t="inlineStr">
        <is>
          <t>Unknown</t>
        </is>
      </c>
      <c r="R39" s="2" t="inlineStr">
        <is>
          <t>Unknown</t>
        </is>
      </c>
      <c r="S39" s="2" t="inlineStr">
        <is>
          <t>Unknown</t>
        </is>
      </c>
      <c r="T39" s="2" t="inlineStr">
        <is>
          <t>Unknown</t>
        </is>
      </c>
      <c r="U39" s="2" t="inlineStr">
        <is>
          <t>Unknown</t>
        </is>
      </c>
      <c r="V39" s="2" t="inlineStr">
        <is>
          <t>Website; phone</t>
        </is>
      </c>
      <c r="W39" s="2" t="inlineStr">
        <is>
          <t>None found</t>
        </is>
      </c>
      <c r="X39" s="2" t="inlineStr">
        <is>
          <t>None found</t>
        </is>
      </c>
      <c r="Y39" s="2" t="inlineStr">
        <is>
          <t>None found</t>
        </is>
      </c>
      <c r="Z39" s="2" t="inlineStr">
        <is>
          <t>Website quote/contact form + phone</t>
        </is>
      </c>
      <c r="AA39" s="2" t="inlineStr">
        <is>
          <t>Quote request automation</t>
        </is>
      </c>
      <c r="AB39" s="2" t="inlineStr">
        <is>
          <t>Medium</t>
        </is>
      </c>
      <c r="AC39" s="2" t="inlineStr">
        <is>
          <t>Your site offers free, no-obligation solar quotes by phone.</t>
        </is>
      </c>
      <c r="AD39" s="2" t="inlineStr">
        <is>
          <t>Supports the quote request automation idea: Website quote/contact form + phone</t>
        </is>
      </c>
      <c r="AE39" s="2" t="inlineStr">
        <is>
          <t>I noticed your site offers free, no-obligation solar quotes by phone.</t>
        </is>
      </c>
      <c r="AF39" s="2" t="inlineStr">
        <is>
          <t>Quote requests at TruNorth Solar</t>
        </is>
      </c>
      <c r="AG39" s="2" t="inlineStr">
        <is>
          <t>Hi TruNorth Solar team,
I noticed your site offers free, no-obligation solar quotes by phone.
I work with businesses on AI and workflow automation. For a solar company like TruNorth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39" s="2" t="inlineStr">
        <is>
          <t>https://trunorthsolar.com/</t>
        </is>
      </c>
      <c r="AI39" s="2" t="inlineStr">
        <is>
          <t>Site title 'TruNorth Solar - Solar Energy Company in Arden Hills, MN'; free no-obligation quotes by phone.</t>
        </is>
      </c>
      <c r="AJ39" s="2" t="inlineStr">
        <is>
          <t>Company website</t>
        </is>
      </c>
      <c r="AK39" s="2" t="inlineStr">
        <is>
          <t>Medium</t>
        </is>
      </c>
      <c r="AL39" s="2" t="inlineStr">
        <is>
          <t>Reject</t>
        </is>
      </c>
      <c r="AM39" s="2" t="inlineStr">
        <is>
          <t>Not Sent</t>
        </is>
      </c>
      <c r="AN39" s="2" t="n"/>
      <c r="AO39" s="2" t="inlineStr">
        <is>
          <t>Batch 1 | No email seen in search results; search budget exhausted before a contact-page lookup. | No publicly verified business email found.</t>
        </is>
      </c>
    </row>
    <row r="40">
      <c r="A40" s="2" t="inlineStr"/>
      <c r="B40" s="2" t="inlineStr">
        <is>
          <t>iSolar MN</t>
        </is>
      </c>
      <c r="C40" s="2" t="inlineStr"/>
      <c r="D40" s="2" t="inlineStr"/>
      <c r="E40" s="2" t="inlineStr"/>
      <c r="F40" s="2" t="inlineStr">
        <is>
          <t>United States</t>
        </is>
      </c>
      <c r="G40" s="2" t="inlineStr">
        <is>
          <t>Minnesota</t>
        </is>
      </c>
      <c r="H40" s="2" t="inlineStr"/>
      <c r="I40" s="2" t="inlineStr">
        <is>
          <t>https://isolarmn.com/</t>
        </is>
      </c>
      <c r="J40" s="2" t="inlineStr">
        <is>
          <t>Residential solar installer</t>
        </is>
      </c>
      <c r="K40" s="2" t="inlineStr">
        <is>
          <t>Solar PV</t>
        </is>
      </c>
      <c r="L40" s="2" t="inlineStr">
        <is>
          <t>Residential</t>
        </is>
      </c>
      <c r="M40" s="2" t="inlineStr">
        <is>
          <t>Unknown</t>
        </is>
      </c>
      <c r="N40" s="2" t="inlineStr">
        <is>
          <t>Minnesota</t>
        </is>
      </c>
      <c r="O40" s="2" t="inlineStr">
        <is>
          <t>Unknown</t>
        </is>
      </c>
      <c r="P40" s="2" t="inlineStr">
        <is>
          <t>Yes</t>
        </is>
      </c>
      <c r="Q40" s="2" t="inlineStr">
        <is>
          <t>Unknown</t>
        </is>
      </c>
      <c r="R40" s="2" t="inlineStr">
        <is>
          <t>Unknown</t>
        </is>
      </c>
      <c r="S40" s="2" t="inlineStr">
        <is>
          <t>Yes</t>
        </is>
      </c>
      <c r="T40" s="2" t="inlineStr">
        <is>
          <t>Unknown</t>
        </is>
      </c>
      <c r="U40" s="2" t="inlineStr">
        <is>
          <t>Unknown</t>
        </is>
      </c>
      <c r="V40" s="2" t="inlineStr">
        <is>
          <t>Website; phone</t>
        </is>
      </c>
      <c r="W40" s="2" t="inlineStr">
        <is>
          <t>None found</t>
        </is>
      </c>
      <c r="X40" s="2" t="inlineStr">
        <is>
          <t>None found</t>
        </is>
      </c>
      <c r="Y40" s="2" t="inlineStr">
        <is>
          <t>None found</t>
        </is>
      </c>
      <c r="Z40" s="2" t="inlineStr">
        <is>
          <t>Website quote/contact form + phone</t>
        </is>
      </c>
      <c r="AA40" s="2" t="inlineStr">
        <is>
          <t>Quote request automation</t>
        </is>
      </c>
      <c r="AB40" s="2" t="inlineStr">
        <is>
          <t>Medium</t>
        </is>
      </c>
      <c r="AC40" s="2" t="inlineStr">
        <is>
          <t>Your contact page invites Minnesotans to get a free solar quote, with no pressure.</t>
        </is>
      </c>
      <c r="AD40" s="2" t="inlineStr">
        <is>
          <t>Supports the quote request automation idea: Website quote/contact form + phone</t>
        </is>
      </c>
      <c r="AE40" s="2" t="inlineStr">
        <is>
          <t>I came across iSolar MN and noticed your contact page invites Minnesotans to get a free solar quote, with no pressure.</t>
        </is>
      </c>
      <c r="AF40" s="2" t="inlineStr">
        <is>
          <t>A solar quote workflow idea</t>
        </is>
      </c>
      <c r="AG40" s="2" t="inlineStr">
        <is>
          <t>Hi iSolar MN team,
I came across iSolar MN and noticed your contact page invites Minnesotans to get a free solar quote, with no pressure.
I work with businesses on AI and workflow automation. For a solar company like iSolar MN,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0" s="2" t="inlineStr">
        <is>
          <t>https://isolarmn.com/contact-us/</t>
        </is>
      </c>
      <c r="AI40" s="2" t="inlineStr">
        <is>
          <t>Contact page 'Get Your Free Solar Quote Today'; family-owned since 2019.</t>
        </is>
      </c>
      <c r="AJ40" s="2" t="inlineStr">
        <is>
          <t>Company website</t>
        </is>
      </c>
      <c r="AK40" s="2" t="inlineStr">
        <is>
          <t>Medium</t>
        </is>
      </c>
      <c r="AL40" s="2" t="inlineStr">
        <is>
          <t>Reject</t>
        </is>
      </c>
      <c r="AM40" s="2" t="inlineStr">
        <is>
          <t>Not Sent</t>
        </is>
      </c>
      <c r="AN40" s="2" t="n"/>
      <c r="AO40" s="2" t="inlineStr">
        <is>
          <t>Batch 1 | No email seen in search results; search budget exhausted before a contact-page lookup. | No publicly verified business email found.</t>
        </is>
      </c>
    </row>
    <row r="41">
      <c r="A41" s="2" t="inlineStr"/>
      <c r="B41" s="2" t="inlineStr">
        <is>
          <t>MN Solar and More</t>
        </is>
      </c>
      <c r="C41" s="2" t="inlineStr"/>
      <c r="D41" s="2" t="inlineStr"/>
      <c r="E41" s="2" t="inlineStr"/>
      <c r="F41" s="2" t="inlineStr">
        <is>
          <t>United States</t>
        </is>
      </c>
      <c r="G41" s="2" t="inlineStr">
        <is>
          <t>Minnesota</t>
        </is>
      </c>
      <c r="H41" s="2" t="inlineStr"/>
      <c r="I41" s="2" t="inlineStr">
        <is>
          <t>https://www.mnsolarandmore.com/</t>
        </is>
      </c>
      <c r="J41" s="2" t="inlineStr">
        <is>
          <t>Residential &amp; commercial solar installer</t>
        </is>
      </c>
      <c r="K41" s="2" t="inlineStr">
        <is>
          <t>Solar PV</t>
        </is>
      </c>
      <c r="L41" s="2" t="inlineStr">
        <is>
          <t>Residential &amp; Commercial</t>
        </is>
      </c>
      <c r="M41" s="2" t="inlineStr">
        <is>
          <t>Unknown</t>
        </is>
      </c>
      <c r="N41" s="2" t="inlineStr">
        <is>
          <t>Minnesota</t>
        </is>
      </c>
      <c r="O41" s="2" t="inlineStr">
        <is>
          <t>Unknown</t>
        </is>
      </c>
      <c r="P41" s="2" t="inlineStr">
        <is>
          <t>Unknown</t>
        </is>
      </c>
      <c r="Q41" s="2" t="inlineStr">
        <is>
          <t>Unknown</t>
        </is>
      </c>
      <c r="R41" s="2" t="inlineStr">
        <is>
          <t>Unknown</t>
        </is>
      </c>
      <c r="S41" s="2" t="inlineStr">
        <is>
          <t>Unknown</t>
        </is>
      </c>
      <c r="T41" s="2" t="inlineStr">
        <is>
          <t>Unknown</t>
        </is>
      </c>
      <c r="U41" s="2" t="inlineStr">
        <is>
          <t>Unknown</t>
        </is>
      </c>
      <c r="V41" s="2" t="inlineStr">
        <is>
          <t>Website; phone</t>
        </is>
      </c>
      <c r="W41" s="2" t="inlineStr">
        <is>
          <t>None found</t>
        </is>
      </c>
      <c r="X41" s="2" t="inlineStr">
        <is>
          <t>None found</t>
        </is>
      </c>
      <c r="Y41" s="2" t="inlineStr">
        <is>
          <t>None found</t>
        </is>
      </c>
      <c r="Z41" s="2" t="inlineStr">
        <is>
          <t>Phone/website enquiries</t>
        </is>
      </c>
      <c r="AA41" s="2" t="inlineStr">
        <is>
          <t>Quote request automation</t>
        </is>
      </c>
      <c r="AB41" s="2" t="inlineStr">
        <is>
          <t>Low</t>
        </is>
      </c>
      <c r="AC41" s="2" t="inlineStr">
        <is>
          <t>Your company installs residential and commercial solar across Minnesota.</t>
        </is>
      </c>
      <c r="AD41" s="2" t="inlineStr">
        <is>
          <t>Supports the quote request automation idea: Phone/website enquiries</t>
        </is>
      </c>
      <c r="AE41" s="2" t="inlineStr">
        <is>
          <t>I noticed your company installs residential and commercial solar across Minnesota.</t>
        </is>
      </c>
      <c r="AF41" s="2" t="inlineStr">
        <is>
          <t>Quote requests at MN Solar and More</t>
        </is>
      </c>
      <c r="AG41" s="2" t="inlineStr">
        <is>
          <t>Hi MN Solar and More team,
I noticed your company installs residential and commercial solar across Minnesota.
I work with businesses on AI and workflow automation. For a solar company like MN Solar and More,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1" s="2" t="inlineStr">
        <is>
          <t>https://www.mnsolarandmore.com/</t>
        </is>
      </c>
      <c r="AI41" s="2" t="inlineStr">
        <is>
          <t>Site title 'Minnesota Solar Installers'; free quotes (summary).</t>
        </is>
      </c>
      <c r="AJ41" s="2" t="inlineStr">
        <is>
          <t>Company website</t>
        </is>
      </c>
      <c r="AK41" s="2" t="inlineStr">
        <is>
          <t>Medium</t>
        </is>
      </c>
      <c r="AL41" s="2" t="inlineStr">
        <is>
          <t>Reject</t>
        </is>
      </c>
      <c r="AM41" s="2" t="inlineStr">
        <is>
          <t>Not Sent</t>
        </is>
      </c>
      <c r="AN41" s="2" t="n"/>
      <c r="AO41" s="2" t="inlineStr">
        <is>
          <t>Batch 1 | No email seen in search results; search budget exhausted before a contact-page lookup. | No publicly verified business email found.</t>
        </is>
      </c>
    </row>
    <row r="42">
      <c r="A42" s="2" t="inlineStr"/>
      <c r="B42" s="2" t="inlineStr">
        <is>
          <t>Live Wire Solar</t>
        </is>
      </c>
      <c r="C42" s="2" t="inlineStr"/>
      <c r="D42" s="2" t="inlineStr"/>
      <c r="E42" s="2" t="inlineStr"/>
      <c r="F42" s="2" t="inlineStr">
        <is>
          <t>United States</t>
        </is>
      </c>
      <c r="G42" s="2" t="inlineStr">
        <is>
          <t>Minnesota</t>
        </is>
      </c>
      <c r="H42" s="2" t="inlineStr"/>
      <c r="I42" s="2" t="inlineStr">
        <is>
          <t>http://livewiresolarmn.com/</t>
        </is>
      </c>
      <c r="J42" s="2" t="inlineStr">
        <is>
          <t>Residential solar installer</t>
        </is>
      </c>
      <c r="K42" s="2" t="inlineStr">
        <is>
          <t>Solar PV</t>
        </is>
      </c>
      <c r="L42" s="2" t="inlineStr">
        <is>
          <t>Residential</t>
        </is>
      </c>
      <c r="M42" s="2" t="inlineStr">
        <is>
          <t>Unknown</t>
        </is>
      </c>
      <c r="N42" s="2" t="inlineStr">
        <is>
          <t>Minnesota</t>
        </is>
      </c>
      <c r="O42" s="2" t="inlineStr">
        <is>
          <t>Unknown</t>
        </is>
      </c>
      <c r="P42" s="2" t="inlineStr">
        <is>
          <t>Unknown</t>
        </is>
      </c>
      <c r="Q42" s="2" t="inlineStr">
        <is>
          <t>Unknown</t>
        </is>
      </c>
      <c r="R42" s="2" t="inlineStr">
        <is>
          <t>Unknown</t>
        </is>
      </c>
      <c r="S42" s="2" t="inlineStr">
        <is>
          <t>Unknown</t>
        </is>
      </c>
      <c r="T42" s="2" t="inlineStr">
        <is>
          <t>Unknown</t>
        </is>
      </c>
      <c r="U42" s="2" t="inlineStr">
        <is>
          <t>Unknown</t>
        </is>
      </c>
      <c r="V42" s="2" t="inlineStr">
        <is>
          <t>Website; phone</t>
        </is>
      </c>
      <c r="W42" s="2" t="inlineStr">
        <is>
          <t>None found</t>
        </is>
      </c>
      <c r="X42" s="2" t="inlineStr">
        <is>
          <t>None found</t>
        </is>
      </c>
      <c r="Y42" s="2" t="inlineStr">
        <is>
          <t>None found</t>
        </is>
      </c>
      <c r="Z42" s="2" t="inlineStr">
        <is>
          <t>Phone/website enquiries</t>
        </is>
      </c>
      <c r="AA42" s="2" t="inlineStr">
        <is>
          <t>Quote request automation</t>
        </is>
      </c>
      <c r="AB42" s="2" t="inlineStr">
        <is>
          <t>Low</t>
        </is>
      </c>
      <c r="AC42" s="2" t="inlineStr">
        <is>
          <t>Your quotes include an emissions-reduction estimate for each system.</t>
        </is>
      </c>
      <c r="AD42" s="2" t="inlineStr">
        <is>
          <t>Supports the quote request automation idea: Phone/website enquiries</t>
        </is>
      </c>
      <c r="AE42" s="2" t="inlineStr">
        <is>
          <t>I was looking at your website and saw that your quotes include an emissions-reduction estimate for each system.</t>
        </is>
      </c>
      <c r="AF42" s="2" t="inlineStr">
        <is>
          <t>A solar quote workflow idea</t>
        </is>
      </c>
      <c r="AG42" s="2" t="inlineStr">
        <is>
          <t>Hi Live Wire Solar team,
I was looking at your website and saw that your quotes include an emissions-reduction estimate for each system.
I work with businesses on AI and workflow automation. For a solar company like Live Wire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2" s="2" t="inlineStr">
        <is>
          <t>http://livewiresolarmn.com/</t>
        </is>
      </c>
      <c r="AI42" s="2" t="inlineStr">
        <is>
          <t>Site title 'Live Wire Solar - Minnesota Solar Panel Installation'.</t>
        </is>
      </c>
      <c r="AJ42" s="2" t="inlineStr">
        <is>
          <t>Company website</t>
        </is>
      </c>
      <c r="AK42" s="2" t="inlineStr">
        <is>
          <t>Medium</t>
        </is>
      </c>
      <c r="AL42" s="2" t="inlineStr">
        <is>
          <t>Reject</t>
        </is>
      </c>
      <c r="AM42" s="2" t="inlineStr">
        <is>
          <t>Not Sent</t>
        </is>
      </c>
      <c r="AN42" s="2" t="n"/>
      <c r="AO42" s="2" t="inlineStr">
        <is>
          <t>Batch 1 | Quote detail from search summary only. | No publicly verified business email found.</t>
        </is>
      </c>
    </row>
    <row r="43">
      <c r="A43" s="2" t="inlineStr"/>
      <c r="B43" s="2" t="inlineStr">
        <is>
          <t>Erickson Electric Company</t>
        </is>
      </c>
      <c r="C43" s="2" t="inlineStr"/>
      <c r="D43" s="2" t="inlineStr"/>
      <c r="E43" s="2" t="inlineStr"/>
      <c r="F43" s="2" t="inlineStr">
        <is>
          <t>United States</t>
        </is>
      </c>
      <c r="G43" s="2" t="inlineStr">
        <is>
          <t>Minnesota</t>
        </is>
      </c>
      <c r="H43" s="2" t="inlineStr"/>
      <c r="I43" s="2" t="inlineStr">
        <is>
          <t>https://www.ericksonelectricmn.com/</t>
        </is>
      </c>
      <c r="J43" s="2" t="inlineStr">
        <is>
          <t>Residential &amp; commercial solar installer</t>
        </is>
      </c>
      <c r="K43" s="2" t="inlineStr">
        <is>
          <t>Solar PV, electrical</t>
        </is>
      </c>
      <c r="L43" s="2" t="inlineStr">
        <is>
          <t>Residential &amp; Commercial</t>
        </is>
      </c>
      <c r="M43" s="2" t="inlineStr">
        <is>
          <t>Unknown</t>
        </is>
      </c>
      <c r="N43" s="2" t="inlineStr">
        <is>
          <t>Minneapolis and central Minnesota</t>
        </is>
      </c>
      <c r="O43" s="2" t="inlineStr">
        <is>
          <t>Unknown</t>
        </is>
      </c>
      <c r="P43" s="2" t="inlineStr">
        <is>
          <t>Unknown</t>
        </is>
      </c>
      <c r="Q43" s="2" t="inlineStr">
        <is>
          <t>Unknown</t>
        </is>
      </c>
      <c r="R43" s="2" t="inlineStr">
        <is>
          <t>Unknown</t>
        </is>
      </c>
      <c r="S43" s="2" t="inlineStr">
        <is>
          <t>Unknown</t>
        </is>
      </c>
      <c r="T43" s="2" t="inlineStr">
        <is>
          <t>Unknown</t>
        </is>
      </c>
      <c r="U43" s="2" t="inlineStr">
        <is>
          <t>Unknown</t>
        </is>
      </c>
      <c r="V43" s="2" t="inlineStr">
        <is>
          <t>Website; phone</t>
        </is>
      </c>
      <c r="W43" s="2" t="inlineStr">
        <is>
          <t>None found</t>
        </is>
      </c>
      <c r="X43" s="2" t="inlineStr">
        <is>
          <t>None found</t>
        </is>
      </c>
      <c r="Y43" s="2" t="inlineStr">
        <is>
          <t>None found</t>
        </is>
      </c>
      <c r="Z43" s="2" t="inlineStr">
        <is>
          <t>Phone/website enquiries</t>
        </is>
      </c>
      <c r="AA43" s="2" t="inlineStr">
        <is>
          <t>Quote request automation</t>
        </is>
      </c>
      <c r="AB43" s="2" t="inlineStr">
        <is>
          <t>Low</t>
        </is>
      </c>
      <c r="AC43" s="2" t="inlineStr">
        <is>
          <t>Your site has a dedicated solar installation page for Minneapolis.</t>
        </is>
      </c>
      <c r="AD43" s="2" t="inlineStr">
        <is>
          <t>Supports the quote request automation idea: Phone/website enquiries</t>
        </is>
      </c>
      <c r="AE43" s="2" t="inlineStr">
        <is>
          <t>I came across Erickson Electric Company and noticed your site has a dedicated solar installation page for Minneapolis.</t>
        </is>
      </c>
      <c r="AF43" s="2" t="inlineStr">
        <is>
          <t>Quote requests at Erickson Electric Company</t>
        </is>
      </c>
      <c r="AG43" s="2" t="inlineStr">
        <is>
          <t>Hi Erickson Electric Company team,
I came across Erickson Electric Company and noticed your site has a dedicated solar installation page for Minneapolis.
I work with businesses on AI and workflow automation. For a solar company like Erickson Electric Company,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3" s="2" t="inlineStr">
        <is>
          <t>https://www.ericksonelectricmn.com/areas-we-serve/minneapolis/solar-installation/</t>
        </is>
      </c>
      <c r="AI43" s="2" t="inlineStr">
        <is>
          <t>Minneapolis solar installation page; free estimate by phone (320) 456-0652.</t>
        </is>
      </c>
      <c r="AJ43" s="2" t="inlineStr">
        <is>
          <t>Company website</t>
        </is>
      </c>
      <c r="AK43" s="2" t="inlineStr">
        <is>
          <t>Medium</t>
        </is>
      </c>
      <c r="AL43" s="2" t="inlineStr">
        <is>
          <t>Reject</t>
        </is>
      </c>
      <c r="AM43" s="2" t="inlineStr">
        <is>
          <t>Not Sent</t>
        </is>
      </c>
      <c r="AN43" s="2" t="n"/>
      <c r="AO43" s="2" t="inlineStr">
        <is>
          <t>Batch 1 | No email seen in search results; search budget exhausted before a contact-page lookup. | No publicly verified business email found.</t>
        </is>
      </c>
    </row>
    <row r="44">
      <c r="A44" s="2" t="inlineStr"/>
      <c r="B44" s="2" t="inlineStr">
        <is>
          <t>NJ Solar Power</t>
        </is>
      </c>
      <c r="C44" s="2" t="inlineStr"/>
      <c r="D44" s="2" t="inlineStr"/>
      <c r="E44" s="2" t="inlineStr"/>
      <c r="F44" s="2" t="inlineStr">
        <is>
          <t>United States</t>
        </is>
      </c>
      <c r="G44" s="2" t="inlineStr">
        <is>
          <t>New Jersey</t>
        </is>
      </c>
      <c r="H44" s="2" t="inlineStr"/>
      <c r="I44" s="2" t="inlineStr">
        <is>
          <t>https://njsolarpower.com/</t>
        </is>
      </c>
      <c r="J44" s="2" t="inlineStr">
        <is>
          <t>Residential &amp; commercial solar installer</t>
        </is>
      </c>
      <c r="K44" s="2" t="inlineStr">
        <is>
          <t>Solar PV</t>
        </is>
      </c>
      <c r="L44" s="2" t="inlineStr">
        <is>
          <t>Residential &amp; Commercial</t>
        </is>
      </c>
      <c r="M44" s="2" t="inlineStr">
        <is>
          <t>Unknown</t>
        </is>
      </c>
      <c r="N44" s="2" t="inlineStr">
        <is>
          <t>New Jersey</t>
        </is>
      </c>
      <c r="O44" s="2" t="inlineStr">
        <is>
          <t>Unknown</t>
        </is>
      </c>
      <c r="P44" s="2" t="inlineStr">
        <is>
          <t>Unknown</t>
        </is>
      </c>
      <c r="Q44" s="2" t="inlineStr">
        <is>
          <t>Unknown</t>
        </is>
      </c>
      <c r="R44" s="2" t="inlineStr">
        <is>
          <t>Unknown</t>
        </is>
      </c>
      <c r="S44" s="2" t="inlineStr">
        <is>
          <t>Unknown</t>
        </is>
      </c>
      <c r="T44" s="2" t="inlineStr">
        <is>
          <t>Unknown</t>
        </is>
      </c>
      <c r="U44" s="2" t="inlineStr">
        <is>
          <t>Unknown</t>
        </is>
      </c>
      <c r="V44" s="2" t="inlineStr">
        <is>
          <t>Website; phone</t>
        </is>
      </c>
      <c r="W44" s="2" t="inlineStr">
        <is>
          <t>None found</t>
        </is>
      </c>
      <c r="X44" s="2" t="inlineStr">
        <is>
          <t>None found</t>
        </is>
      </c>
      <c r="Y44" s="2" t="inlineStr">
        <is>
          <t>None found</t>
        </is>
      </c>
      <c r="Z44" s="2" t="inlineStr">
        <is>
          <t>Phone/website enquiries</t>
        </is>
      </c>
      <c r="AA44" s="2" t="inlineStr">
        <is>
          <t>Quote request automation</t>
        </is>
      </c>
      <c r="AB44" s="2" t="inlineStr">
        <is>
          <t>Medium</t>
        </is>
      </c>
      <c r="AC44" s="2" t="inlineStr">
        <is>
          <t>Your company has been installing solar in New Jersey for over 20 years.</t>
        </is>
      </c>
      <c r="AD44" s="2" t="inlineStr">
        <is>
          <t>Supports the quote request automation idea: Phone/website enquiries</t>
        </is>
      </c>
      <c r="AE44" s="2" t="inlineStr">
        <is>
          <t>I noticed your company has been installing solar in New Jersey for over 20 years.</t>
        </is>
      </c>
      <c r="AF44" s="2" t="inlineStr">
        <is>
          <t>A solar quote workflow idea</t>
        </is>
      </c>
      <c r="AG44" s="2" t="inlineStr">
        <is>
          <t>Hi NJ Solar Power team,
I noticed your company has been installing solar in New Jersey for over 20 years.
I work with businesses on AI and workflow automation. For a solar company like NJ Solar Power,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4" s="2" t="inlineStr">
        <is>
          <t>https://njsolarpower.com/</t>
        </is>
      </c>
      <c r="AI44" s="2" t="inlineStr">
        <is>
          <t>Site title 'Residential &amp; Commercial Solar Installer | New Jersey'; 20+ years experience (summary).</t>
        </is>
      </c>
      <c r="AJ44" s="2" t="inlineStr">
        <is>
          <t>Company website</t>
        </is>
      </c>
      <c r="AK44" s="2" t="inlineStr">
        <is>
          <t>Medium</t>
        </is>
      </c>
      <c r="AL44" s="2" t="inlineStr">
        <is>
          <t>Reject</t>
        </is>
      </c>
      <c r="AM44" s="2" t="inlineStr">
        <is>
          <t>Not Sent</t>
        </is>
      </c>
      <c r="AN44" s="2" t="n"/>
      <c r="AO44" s="2" t="inlineStr">
        <is>
          <t>Batch 1 | No email seen in search results; search budget exhausted before a contact-page lookup. | No publicly verified business email found.</t>
        </is>
      </c>
    </row>
    <row r="45">
      <c r="A45" s="2" t="inlineStr"/>
      <c r="B45" s="2" t="inlineStr">
        <is>
          <t>KC Green Energy</t>
        </is>
      </c>
      <c r="C45" s="2" t="inlineStr"/>
      <c r="D45" s="2" t="inlineStr"/>
      <c r="E45" s="2" t="inlineStr"/>
      <c r="F45" s="2" t="inlineStr">
        <is>
          <t>United States</t>
        </is>
      </c>
      <c r="G45" s="2" t="inlineStr">
        <is>
          <t>New Jersey</t>
        </is>
      </c>
      <c r="H45" s="2" t="inlineStr"/>
      <c r="I45" s="2" t="inlineStr">
        <is>
          <t>https://www.kcgreenenergy.com/</t>
        </is>
      </c>
      <c r="J45" s="2" t="inlineStr">
        <is>
          <t>Residential &amp; commercial solar installer</t>
        </is>
      </c>
      <c r="K45" s="2" t="inlineStr">
        <is>
          <t>Solar PV</t>
        </is>
      </c>
      <c r="L45" s="2" t="inlineStr">
        <is>
          <t>Residential &amp; Commercial</t>
        </is>
      </c>
      <c r="M45" s="2" t="inlineStr">
        <is>
          <t>Unknown</t>
        </is>
      </c>
      <c r="N45" s="2" t="inlineStr">
        <is>
          <t>New Jersey, Pennsylvania</t>
        </is>
      </c>
      <c r="O45" s="2" t="inlineStr">
        <is>
          <t>Unknown</t>
        </is>
      </c>
      <c r="P45" s="2" t="inlineStr">
        <is>
          <t>Unknown</t>
        </is>
      </c>
      <c r="Q45" s="2" t="inlineStr">
        <is>
          <t>Unknown</t>
        </is>
      </c>
      <c r="R45" s="2" t="inlineStr">
        <is>
          <t>Unknown</t>
        </is>
      </c>
      <c r="S45" s="2" t="inlineStr">
        <is>
          <t>Unknown</t>
        </is>
      </c>
      <c r="T45" s="2" t="inlineStr">
        <is>
          <t>Unknown</t>
        </is>
      </c>
      <c r="U45" s="2" t="inlineStr">
        <is>
          <t>Unknown</t>
        </is>
      </c>
      <c r="V45" s="2" t="inlineStr">
        <is>
          <t>Website; phone</t>
        </is>
      </c>
      <c r="W45" s="2" t="inlineStr">
        <is>
          <t>None found</t>
        </is>
      </c>
      <c r="X45" s="2" t="inlineStr">
        <is>
          <t>Multi-state service areas</t>
        </is>
      </c>
      <c r="Y45" s="2" t="inlineStr">
        <is>
          <t>None found</t>
        </is>
      </c>
      <c r="Z45" s="2" t="inlineStr">
        <is>
          <t>Phone/website enquiries</t>
        </is>
      </c>
      <c r="AA45" s="2" t="inlineStr">
        <is>
          <t>Quote request automation</t>
        </is>
      </c>
      <c r="AB45" s="2" t="inlineStr">
        <is>
          <t>Medium</t>
        </is>
      </c>
      <c r="AC45" s="2" t="inlineStr">
        <is>
          <t>Your site has dedicated solar service-area pages for New Jersey and Pennsylvania.</t>
        </is>
      </c>
      <c r="AD45" s="2" t="inlineStr">
        <is>
          <t>Supports the quote request automation idea: Phone/website enquiries</t>
        </is>
      </c>
      <c r="AE45" s="2" t="inlineStr">
        <is>
          <t>I noticed your site has dedicated solar service-area pages for New Jersey and Pennsylvania.</t>
        </is>
      </c>
      <c r="AF45" s="2" t="inlineStr">
        <is>
          <t>Quote requests at KC Green Energy</t>
        </is>
      </c>
      <c r="AG45" s="2" t="inlineStr">
        <is>
          <t>Hi KC Green Energy team,
I noticed your site has dedicated solar service-area pages for New Jersey and Pennsylvania.
I work with businesses on AI and workflow automation. For a solar company like KC Green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5" s="2" t="inlineStr">
        <is>
          <t>https://www.kcgreenenergy.com/service-areas/new-jersey/</t>
        </is>
      </c>
      <c r="AI45" s="2" t="inlineStr">
        <is>
          <t>Service-area pages for NJ and PA.</t>
        </is>
      </c>
      <c r="AJ45" s="2" t="inlineStr">
        <is>
          <t>Company website</t>
        </is>
      </c>
      <c r="AK45" s="2" t="inlineStr">
        <is>
          <t>Medium</t>
        </is>
      </c>
      <c r="AL45" s="2" t="inlineStr">
        <is>
          <t>Reject</t>
        </is>
      </c>
      <c r="AM45" s="2" t="inlineStr">
        <is>
          <t>Not Sent</t>
        </is>
      </c>
      <c r="AN45" s="2" t="n"/>
      <c r="AO45" s="2" t="inlineStr">
        <is>
          <t>Batch 1 | HQ city not confirmed. | No publicly verified business email found.</t>
        </is>
      </c>
    </row>
    <row r="46">
      <c r="A46" s="2" t="inlineStr"/>
      <c r="B46" s="2" t="inlineStr">
        <is>
          <t>Panel Masters of NJ</t>
        </is>
      </c>
      <c r="C46" s="2" t="inlineStr"/>
      <c r="D46" s="2" t="inlineStr"/>
      <c r="E46" s="2" t="inlineStr"/>
      <c r="F46" s="2" t="inlineStr">
        <is>
          <t>United States</t>
        </is>
      </c>
      <c r="G46" s="2" t="inlineStr">
        <is>
          <t>New Jersey</t>
        </is>
      </c>
      <c r="H46" s="2" t="inlineStr">
        <is>
          <t>Deptford</t>
        </is>
      </c>
      <c r="I46" s="2" t="inlineStr">
        <is>
          <t>https://www.panelmastersofnj.com/</t>
        </is>
      </c>
      <c r="J46" s="2" t="inlineStr">
        <is>
          <t>Residential solar installer</t>
        </is>
      </c>
      <c r="K46" s="2" t="inlineStr">
        <is>
          <t>Solar PV</t>
        </is>
      </c>
      <c r="L46" s="2" t="inlineStr">
        <is>
          <t>Residential</t>
        </is>
      </c>
      <c r="M46" s="2" t="inlineStr">
        <is>
          <t>Unknown</t>
        </is>
      </c>
      <c r="N46" s="2" t="inlineStr">
        <is>
          <t>NJ, PA &amp; MD</t>
        </is>
      </c>
      <c r="O46" s="2" t="inlineStr">
        <is>
          <t>Unknown</t>
        </is>
      </c>
      <c r="P46" s="2" t="inlineStr">
        <is>
          <t>Unknown</t>
        </is>
      </c>
      <c r="Q46" s="2" t="inlineStr">
        <is>
          <t>Unknown</t>
        </is>
      </c>
      <c r="R46" s="2" t="inlineStr">
        <is>
          <t>Unknown</t>
        </is>
      </c>
      <c r="S46" s="2" t="inlineStr">
        <is>
          <t>Unknown</t>
        </is>
      </c>
      <c r="T46" s="2" t="inlineStr">
        <is>
          <t>Unknown</t>
        </is>
      </c>
      <c r="U46" s="2" t="inlineStr">
        <is>
          <t>Unknown</t>
        </is>
      </c>
      <c r="V46" s="2" t="inlineStr">
        <is>
          <t>Website; phone</t>
        </is>
      </c>
      <c r="W46" s="2" t="inlineStr">
        <is>
          <t>None found</t>
        </is>
      </c>
      <c r="X46" s="2" t="inlineStr">
        <is>
          <t>None found</t>
        </is>
      </c>
      <c r="Y46" s="2" t="inlineStr">
        <is>
          <t>None found</t>
        </is>
      </c>
      <c r="Z46" s="2" t="inlineStr">
        <is>
          <t>Phone/website enquiries</t>
        </is>
      </c>
      <c r="AA46" s="2" t="inlineStr">
        <is>
          <t>Quote request automation</t>
        </is>
      </c>
      <c r="AB46" s="2" t="inlineStr">
        <is>
          <t>Medium</t>
        </is>
      </c>
      <c r="AC46" s="2" t="inlineStr">
        <is>
          <t>Your company serves solar customers in NJ, PA and MD from Deptford.</t>
        </is>
      </c>
      <c r="AD46" s="2" t="inlineStr">
        <is>
          <t>Supports the quote request automation idea: Phone/website enquiries</t>
        </is>
      </c>
      <c r="AE46" s="2" t="inlineStr">
        <is>
          <t>I came across Panel Masters of NJ and noticed your company serves solar customers in NJ, PA and MD from Deptford.</t>
        </is>
      </c>
      <c r="AF46" s="2" t="inlineStr">
        <is>
          <t>A solar quote workflow idea</t>
        </is>
      </c>
      <c r="AG46" s="2" t="inlineStr">
        <is>
          <t>Hi Panel Masters of NJ team,
I came across Panel Masters of NJ and noticed your company serves solar customers in NJ, PA and MD from Deptford.
I work with businesses on AI and workflow automation. For a solar company like Panel Masters of NJ,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6" s="2" t="inlineStr">
        <is>
          <t>https://www.panelmastersofnj.com/</t>
        </is>
      </c>
      <c r="AI46" s="2" t="inlineStr">
        <is>
          <t>Site title 'Solar Services | Panel Masters of NJ | NJ, PA, &amp; MD'; based in Deptford (summary).</t>
        </is>
      </c>
      <c r="AJ46" s="2" t="inlineStr">
        <is>
          <t>Company website</t>
        </is>
      </c>
      <c r="AK46" s="2" t="inlineStr">
        <is>
          <t>Medium</t>
        </is>
      </c>
      <c r="AL46" s="2" t="inlineStr">
        <is>
          <t>Reject</t>
        </is>
      </c>
      <c r="AM46" s="2" t="inlineStr">
        <is>
          <t>Not Sent</t>
        </is>
      </c>
      <c r="AN46" s="2" t="n"/>
      <c r="AO46" s="2" t="inlineStr">
        <is>
          <t>Batch 1 | No email seen in search results; search budget exhausted before a contact-page lookup. | No publicly verified business email found.</t>
        </is>
      </c>
    </row>
    <row r="47">
      <c r="A47" s="2" t="inlineStr"/>
      <c r="B47" s="2" t="inlineStr">
        <is>
          <t>Ethical Energy Solar</t>
        </is>
      </c>
      <c r="C47" s="2" t="inlineStr"/>
      <c r="D47" s="2" t="inlineStr"/>
      <c r="E47" s="2" t="inlineStr"/>
      <c r="F47" s="2" t="inlineStr">
        <is>
          <t>United States</t>
        </is>
      </c>
      <c r="G47" s="2" t="inlineStr">
        <is>
          <t>Pennsylvania</t>
        </is>
      </c>
      <c r="H47" s="2" t="inlineStr"/>
      <c r="I47" s="2" t="inlineStr">
        <is>
          <t>https://ethicalenergysolar.com/</t>
        </is>
      </c>
      <c r="J47" s="2" t="inlineStr">
        <is>
          <t>Residential solar installer</t>
        </is>
      </c>
      <c r="K47" s="2" t="inlineStr">
        <is>
          <t>Solar PV</t>
        </is>
      </c>
      <c r="L47" s="2" t="inlineStr">
        <is>
          <t>Residential</t>
        </is>
      </c>
      <c r="M47" s="2" t="inlineStr">
        <is>
          <t>Unknown</t>
        </is>
      </c>
      <c r="N47" s="2" t="inlineStr">
        <is>
          <t>Pennsylvania</t>
        </is>
      </c>
      <c r="O47" s="2" t="inlineStr">
        <is>
          <t>Unknown</t>
        </is>
      </c>
      <c r="P47" s="2" t="inlineStr">
        <is>
          <t>Unknown</t>
        </is>
      </c>
      <c r="Q47" s="2" t="inlineStr">
        <is>
          <t>Unknown</t>
        </is>
      </c>
      <c r="R47" s="2" t="inlineStr">
        <is>
          <t>Unknown</t>
        </is>
      </c>
      <c r="S47" s="2" t="inlineStr">
        <is>
          <t>Unknown</t>
        </is>
      </c>
      <c r="T47" s="2" t="inlineStr">
        <is>
          <t>Unknown</t>
        </is>
      </c>
      <c r="U47" s="2" t="inlineStr">
        <is>
          <t>Unknown</t>
        </is>
      </c>
      <c r="V47" s="2" t="inlineStr">
        <is>
          <t>Website; phone</t>
        </is>
      </c>
      <c r="W47" s="2" t="inlineStr">
        <is>
          <t>None found</t>
        </is>
      </c>
      <c r="X47" s="2" t="inlineStr">
        <is>
          <t>None found</t>
        </is>
      </c>
      <c r="Y47" s="2" t="inlineStr">
        <is>
          <t>None found</t>
        </is>
      </c>
      <c r="Z47" s="2" t="inlineStr">
        <is>
          <t>Phone/website enquiries</t>
        </is>
      </c>
      <c r="AA47" s="2" t="inlineStr">
        <is>
          <t>Quote request automation</t>
        </is>
      </c>
      <c r="AB47" s="2" t="inlineStr">
        <is>
          <t>Low</t>
        </is>
      </c>
      <c r="AC47" s="2" t="inlineStr">
        <is>
          <t>Your site positions you as a Pennsylvania solar installer.</t>
        </is>
      </c>
      <c r="AD47" s="2" t="inlineStr">
        <is>
          <t>Supports the quote request automation idea: Phone/website enquiries</t>
        </is>
      </c>
      <c r="AE47" s="2" t="inlineStr">
        <is>
          <t>I noticed your site positions you as a Pennsylvania solar installer.</t>
        </is>
      </c>
      <c r="AF47" s="2" t="inlineStr">
        <is>
          <t>Quote requests at Ethical Energy Solar</t>
        </is>
      </c>
      <c r="AG47" s="2" t="inlineStr">
        <is>
          <t>Hi Ethical Energy Solar team,
I noticed your site positions you as a Pennsylvania solar installer.
I work with businesses on AI and workflow automation. For a solar company like Ethical Energy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7" s="2" t="inlineStr">
        <is>
          <t>https://ethicalenergysolar.com/service-areas/pennsylvania/</t>
        </is>
      </c>
      <c r="AI47" s="2" t="inlineStr">
        <is>
          <t>Site title 'Pennsylvania Solar Installers | Ethical Energy Solar'.</t>
        </is>
      </c>
      <c r="AJ47" s="2" t="inlineStr">
        <is>
          <t>Company website</t>
        </is>
      </c>
      <c r="AK47" s="2" t="inlineStr">
        <is>
          <t>Medium</t>
        </is>
      </c>
      <c r="AL47" s="2" t="inlineStr">
        <is>
          <t>Reject</t>
        </is>
      </c>
      <c r="AM47" s="2" t="inlineStr">
        <is>
          <t>Not Sent</t>
        </is>
      </c>
      <c r="AN47" s="2" t="n"/>
      <c r="AO47" s="2" t="inlineStr">
        <is>
          <t>Batch 1 | No email seen in search results; search budget exhausted before a contact-page lookup. | No publicly verified business email found.</t>
        </is>
      </c>
    </row>
    <row r="48">
      <c r="A48" s="2" t="inlineStr"/>
      <c r="B48" s="2" t="inlineStr">
        <is>
          <t>Pennsylvania Solar Energy Company Inc.</t>
        </is>
      </c>
      <c r="C48" s="2" t="inlineStr"/>
      <c r="D48" s="2" t="inlineStr"/>
      <c r="E48" s="2" t="inlineStr"/>
      <c r="F48" s="2" t="inlineStr">
        <is>
          <t>United States</t>
        </is>
      </c>
      <c r="G48" s="2" t="inlineStr">
        <is>
          <t>Pennsylvania</t>
        </is>
      </c>
      <c r="H48" s="2" t="inlineStr">
        <is>
          <t>Washington</t>
        </is>
      </c>
      <c r="I48" s="2" t="inlineStr">
        <is>
          <t>https://pennsolarenergy.com/</t>
        </is>
      </c>
      <c r="J48" s="2" t="inlineStr">
        <is>
          <t>Residential solar installer</t>
        </is>
      </c>
      <c r="K48" s="2" t="inlineStr">
        <is>
          <t>Solar PV</t>
        </is>
      </c>
      <c r="L48" s="2" t="inlineStr">
        <is>
          <t>Residential</t>
        </is>
      </c>
      <c r="M48" s="2" t="inlineStr">
        <is>
          <t>Unknown</t>
        </is>
      </c>
      <c r="N48" s="2" t="inlineStr">
        <is>
          <t>Southwest Pennsylvania</t>
        </is>
      </c>
      <c r="O48" s="2" t="inlineStr">
        <is>
          <t>Unknown</t>
        </is>
      </c>
      <c r="P48" s="2" t="inlineStr">
        <is>
          <t>Yes</t>
        </is>
      </c>
      <c r="Q48" s="2" t="inlineStr">
        <is>
          <t>Unknown</t>
        </is>
      </c>
      <c r="R48" s="2" t="inlineStr">
        <is>
          <t>Unknown</t>
        </is>
      </c>
      <c r="S48" s="2" t="inlineStr">
        <is>
          <t>Yes</t>
        </is>
      </c>
      <c r="T48" s="2" t="inlineStr">
        <is>
          <t>Unknown</t>
        </is>
      </c>
      <c r="U48" s="2" t="inlineStr">
        <is>
          <t>Unknown</t>
        </is>
      </c>
      <c r="V48" s="2" t="inlineStr">
        <is>
          <t>Website; phone</t>
        </is>
      </c>
      <c r="W48" s="2" t="inlineStr">
        <is>
          <t>None found</t>
        </is>
      </c>
      <c r="X48" s="2" t="inlineStr">
        <is>
          <t>None found</t>
        </is>
      </c>
      <c r="Y48" s="2" t="inlineStr">
        <is>
          <t>None found</t>
        </is>
      </c>
      <c r="Z48" s="2" t="inlineStr">
        <is>
          <t>Website quote/contact form + phone</t>
        </is>
      </c>
      <c r="AA48" s="2" t="inlineStr">
        <is>
          <t>Quote request automation</t>
        </is>
      </c>
      <c r="AB48" s="2" t="inlineStr">
        <is>
          <t>Medium</t>
        </is>
      </c>
      <c r="AC48" s="2" t="inlineStr">
        <is>
          <t>Your contact page invites visitors to get a free estimate.</t>
        </is>
      </c>
      <c r="AD48" s="2" t="inlineStr">
        <is>
          <t>Supports the quote request automation idea: Website quote/contact form + phone</t>
        </is>
      </c>
      <c r="AE48" s="2" t="inlineStr">
        <is>
          <t>I was looking at your website and saw that your contact page invites visitors to get a free estimate.</t>
        </is>
      </c>
      <c r="AF48" s="2" t="inlineStr">
        <is>
          <t>A solar quote workflow idea</t>
        </is>
      </c>
      <c r="AG48" s="2" t="inlineStr">
        <is>
          <t>Hi Pennsylvania Solar Energy Company Inc. team,
I was looking at your website and saw that your contact page invites visitors to get a free estimate.
I work with businesses on AI and workflow automation. For a solar company like Pennsylvania Solar Energy Company Inc.,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48" s="2" t="inlineStr">
        <is>
          <t>https://pennsolarenergy.com/contact</t>
        </is>
      </c>
      <c r="AI48" s="2" t="inlineStr">
        <is>
          <t>Contact page 'Get a Free Estimate'; 390 Old Hickory Ridge Rd, Washington, PA (summary).</t>
        </is>
      </c>
      <c r="AJ48" s="2" t="inlineStr">
        <is>
          <t>Company website</t>
        </is>
      </c>
      <c r="AK48" s="2" t="inlineStr">
        <is>
          <t>Medium</t>
        </is>
      </c>
      <c r="AL48" s="2" t="inlineStr">
        <is>
          <t>Reject</t>
        </is>
      </c>
      <c r="AM48" s="2" t="inlineStr">
        <is>
          <t>Not Sent</t>
        </is>
      </c>
      <c r="AN48" s="2" t="n"/>
      <c r="AO48" s="2" t="inlineStr">
        <is>
          <t>Batch 1 | No email seen in search results; search budget exhausted before a contact-page lookup. | No publicly verified business email found.</t>
        </is>
      </c>
    </row>
    <row r="49">
      <c r="A49" s="2" t="inlineStr"/>
      <c r="B49" s="2" t="inlineStr">
        <is>
          <t>Michigan Solar Solutions</t>
        </is>
      </c>
      <c r="C49" s="2" t="inlineStr"/>
      <c r="D49" s="2" t="inlineStr"/>
      <c r="E49" s="2" t="inlineStr"/>
      <c r="F49" s="2" t="inlineStr">
        <is>
          <t>United States</t>
        </is>
      </c>
      <c r="G49" s="2" t="inlineStr">
        <is>
          <t>Michigan</t>
        </is>
      </c>
      <c r="H49" s="2" t="inlineStr">
        <is>
          <t>Commerce Township</t>
        </is>
      </c>
      <c r="I49" s="2" t="inlineStr">
        <is>
          <t>https://michigansolarsolutions.com/</t>
        </is>
      </c>
      <c r="J49" s="2" t="inlineStr">
        <is>
          <t>Residential &amp; commercial solar installer</t>
        </is>
      </c>
      <c r="K49" s="2" t="inlineStr">
        <is>
          <t>Solar PV</t>
        </is>
      </c>
      <c r="L49" s="2" t="inlineStr">
        <is>
          <t>Residential &amp; Commercial</t>
        </is>
      </c>
      <c r="M49" s="2" t="inlineStr">
        <is>
          <t>Unknown</t>
        </is>
      </c>
      <c r="N49" s="2" t="inlineStr">
        <is>
          <t>Southeast Michigan</t>
        </is>
      </c>
      <c r="O49" s="2" t="inlineStr">
        <is>
          <t>Unknown</t>
        </is>
      </c>
      <c r="P49" s="2" t="inlineStr">
        <is>
          <t>Unknown</t>
        </is>
      </c>
      <c r="Q49" s="2" t="inlineStr">
        <is>
          <t>Unknown</t>
        </is>
      </c>
      <c r="R49" s="2" t="inlineStr">
        <is>
          <t>Unknown</t>
        </is>
      </c>
      <c r="S49" s="2" t="inlineStr">
        <is>
          <t>Unknown</t>
        </is>
      </c>
      <c r="T49" s="2" t="inlineStr">
        <is>
          <t>Unknown</t>
        </is>
      </c>
      <c r="U49" s="2" t="inlineStr">
        <is>
          <t>Unknown</t>
        </is>
      </c>
      <c r="V49" s="2" t="inlineStr">
        <is>
          <t>Website; phone</t>
        </is>
      </c>
      <c r="W49" s="2" t="inlineStr">
        <is>
          <t>None found</t>
        </is>
      </c>
      <c r="X49" s="2" t="inlineStr">
        <is>
          <t>None found</t>
        </is>
      </c>
      <c r="Y49" s="2" t="inlineStr">
        <is>
          <t>None found</t>
        </is>
      </c>
      <c r="Z49" s="2" t="inlineStr">
        <is>
          <t>Phone/website enquiries</t>
        </is>
      </c>
      <c r="AA49" s="2" t="inlineStr">
        <is>
          <t>CRM automation</t>
        </is>
      </c>
      <c r="AB49" s="2" t="inlineStr">
        <is>
          <t>Medium</t>
        </is>
      </c>
      <c r="AC49" s="2" t="inlineStr">
        <is>
          <t>Your website runs on HubSpot, based on your contact page URL.</t>
        </is>
      </c>
      <c r="AD49" s="2" t="inlineStr">
        <is>
          <t>Supports the crm automation idea: Phone/website enquiries</t>
        </is>
      </c>
      <c r="AE49" s="2" t="inlineStr">
        <is>
          <t>I came across Michigan Solar Solutions and noticed your website runs on HubSpot, based on your contact page URL.</t>
        </is>
      </c>
      <c r="AF49" s="2" t="inlineStr">
        <is>
          <t>A quick automation idea for Michigan Solar Solutions</t>
        </is>
      </c>
      <c r="AG49" s="2" t="inlineStr">
        <is>
          <t>Hi Michigan Solar Solutions team,
I came across Michigan Solar Solutions and noticed your website runs on HubSpot, based on your contact page URL.
I work with businesses on AI and workflow automation. For a solar company like Michigan Solar Solutions, form enquiries, calls and emails could be logged in your CRM automatically, with each lead moved to the next stage and tasks created for the sales team.
Less manual data entry and a clearer view of where every lead stands.
Would it be useful if I showed you how this could work with your current setup?
Best,
[Sender Name]
AI Automation Specialist</t>
        </is>
      </c>
      <c r="AH49" s="2" t="inlineStr">
        <is>
          <t>https://michigansolarsolutions.com/contact-us/?hsLang=en</t>
        </is>
      </c>
      <c r="AI49" s="2" t="inlineStr">
        <is>
          <t>Contact page URL uses HubSpot '?hsLang=' parameter; address 3260 Old Farm Lane, Commerce Twp (summary).</t>
        </is>
      </c>
      <c r="AJ49" s="2" t="inlineStr">
        <is>
          <t>Company website</t>
        </is>
      </c>
      <c r="AK49" s="2" t="inlineStr">
        <is>
          <t>Medium</t>
        </is>
      </c>
      <c r="AL49" s="2" t="inlineStr">
        <is>
          <t>Reject</t>
        </is>
      </c>
      <c r="AM49" s="2" t="inlineStr">
        <is>
          <t>Not Sent</t>
        </is>
      </c>
      <c r="AN49" s="2" t="n"/>
      <c r="AO49" s="2" t="inlineStr">
        <is>
          <t>Batch 1 | CRM likely HubSpot (hsLang URL parameter) - not set in crm field as indirect. | No publicly verified business email found.</t>
        </is>
      </c>
    </row>
    <row r="50">
      <c r="A50" s="2" t="inlineStr"/>
      <c r="B50" s="2" t="inlineStr">
        <is>
          <t>Peninsula Solar</t>
        </is>
      </c>
      <c r="C50" s="2" t="inlineStr"/>
      <c r="D50" s="2" t="inlineStr"/>
      <c r="E50" s="2" t="inlineStr"/>
      <c r="F50" s="2" t="inlineStr">
        <is>
          <t>United States</t>
        </is>
      </c>
      <c r="G50" s="2" t="inlineStr">
        <is>
          <t>Michigan</t>
        </is>
      </c>
      <c r="H50" s="2" t="inlineStr"/>
      <c r="I50" s="2" t="inlineStr">
        <is>
          <t>https://peninsula-solar.com/</t>
        </is>
      </c>
      <c r="J50" s="2" t="inlineStr">
        <is>
          <t>Residential solar installer</t>
        </is>
      </c>
      <c r="K50" s="2" t="inlineStr">
        <is>
          <t>Solar PV</t>
        </is>
      </c>
      <c r="L50" s="2" t="inlineStr">
        <is>
          <t>Residential</t>
        </is>
      </c>
      <c r="M50" s="2" t="inlineStr">
        <is>
          <t>Unknown</t>
        </is>
      </c>
      <c r="N50" s="2" t="inlineStr">
        <is>
          <t>Northern Michigan</t>
        </is>
      </c>
      <c r="O50" s="2" t="inlineStr">
        <is>
          <t>Unknown</t>
        </is>
      </c>
      <c r="P50" s="2" t="inlineStr">
        <is>
          <t>Unknown</t>
        </is>
      </c>
      <c r="Q50" s="2" t="inlineStr">
        <is>
          <t>Unknown</t>
        </is>
      </c>
      <c r="R50" s="2" t="inlineStr">
        <is>
          <t>Unknown</t>
        </is>
      </c>
      <c r="S50" s="2" t="inlineStr">
        <is>
          <t>Unknown</t>
        </is>
      </c>
      <c r="T50" s="2" t="inlineStr">
        <is>
          <t>Unknown</t>
        </is>
      </c>
      <c r="U50" s="2" t="inlineStr">
        <is>
          <t>Unknown</t>
        </is>
      </c>
      <c r="V50" s="2" t="inlineStr">
        <is>
          <t>Website; phone</t>
        </is>
      </c>
      <c r="W50" s="2" t="inlineStr">
        <is>
          <t>None found</t>
        </is>
      </c>
      <c r="X50" s="2" t="inlineStr">
        <is>
          <t>None found</t>
        </is>
      </c>
      <c r="Y50" s="2" t="inlineStr">
        <is>
          <t>None found</t>
        </is>
      </c>
      <c r="Z50" s="2" t="inlineStr">
        <is>
          <t>Phone/website enquiries</t>
        </is>
      </c>
      <c r="AA50" s="2" t="inlineStr">
        <is>
          <t>Quote request automation</t>
        </is>
      </c>
      <c r="AB50" s="2" t="inlineStr">
        <is>
          <t>Low</t>
        </is>
      </c>
      <c r="AC50" s="2" t="inlineStr">
        <is>
          <t>Your company focuses on solar installs in Northern Michigan.</t>
        </is>
      </c>
      <c r="AD50" s="2" t="inlineStr">
        <is>
          <t>Supports the quote request automation idea: Phone/website enquiries</t>
        </is>
      </c>
      <c r="AE50" s="2" t="inlineStr">
        <is>
          <t>I noticed your company focuses on solar installs in Northern Michigan.</t>
        </is>
      </c>
      <c r="AF50" s="2" t="inlineStr">
        <is>
          <t>A solar quote workflow idea</t>
        </is>
      </c>
      <c r="AG50" s="2" t="inlineStr">
        <is>
          <t>Hi Peninsula Solar team,
I noticed your company focuses on solar installs in Northern Michigan.
I work with businesses on AI and workflow automation. For a solar company like Peninsula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0" s="2" t="inlineStr">
        <is>
          <t>https://peninsula-solar.com/</t>
        </is>
      </c>
      <c r="AI50" s="2" t="inlineStr">
        <is>
          <t>Site title 'Peninsula Solar - Northern Michigan's Best Solar Installers'.</t>
        </is>
      </c>
      <c r="AJ50" s="2" t="inlineStr">
        <is>
          <t>Company website</t>
        </is>
      </c>
      <c r="AK50" s="2" t="inlineStr">
        <is>
          <t>Medium</t>
        </is>
      </c>
      <c r="AL50" s="2" t="inlineStr">
        <is>
          <t>Reject</t>
        </is>
      </c>
      <c r="AM50" s="2" t="inlineStr">
        <is>
          <t>Not Sent</t>
        </is>
      </c>
      <c r="AN50" s="2" t="n"/>
      <c r="AO50" s="2" t="inlineStr">
        <is>
          <t>Batch 1 | No email seen in search results; search budget exhausted before a contact-page lookup. | No publicly verified business email found.</t>
        </is>
      </c>
    </row>
    <row r="51">
      <c r="A51" s="2" t="inlineStr"/>
      <c r="B51" s="2" t="inlineStr">
        <is>
          <t>Solar King</t>
        </is>
      </c>
      <c r="C51" s="2" t="inlineStr"/>
      <c r="D51" s="2" t="inlineStr"/>
      <c r="E51" s="2" t="inlineStr"/>
      <c r="F51" s="2" t="inlineStr">
        <is>
          <t>United States</t>
        </is>
      </c>
      <c r="G51" s="2" t="inlineStr">
        <is>
          <t>Michigan</t>
        </is>
      </c>
      <c r="H51" s="2" t="inlineStr">
        <is>
          <t>Commerce Township</t>
        </is>
      </c>
      <c r="I51" s="2" t="inlineStr">
        <is>
          <t>https://solarkingmi.com/</t>
        </is>
      </c>
      <c r="J51" s="2" t="inlineStr">
        <is>
          <t>Residential solar installer</t>
        </is>
      </c>
      <c r="K51" s="2" t="inlineStr">
        <is>
          <t>Solar PV</t>
        </is>
      </c>
      <c r="L51" s="2" t="inlineStr">
        <is>
          <t>Residential</t>
        </is>
      </c>
      <c r="M51" s="2" t="inlineStr">
        <is>
          <t>Unknown</t>
        </is>
      </c>
      <c r="N51" s="2" t="inlineStr">
        <is>
          <t>Southeast Michigan</t>
        </is>
      </c>
      <c r="O51" s="2" t="inlineStr">
        <is>
          <t>Unknown</t>
        </is>
      </c>
      <c r="P51" s="2" t="inlineStr">
        <is>
          <t>Unknown</t>
        </is>
      </c>
      <c r="Q51" s="2" t="inlineStr">
        <is>
          <t>Unknown</t>
        </is>
      </c>
      <c r="R51" s="2" t="inlineStr">
        <is>
          <t>Unknown</t>
        </is>
      </c>
      <c r="S51" s="2" t="inlineStr">
        <is>
          <t>Unknown</t>
        </is>
      </c>
      <c r="T51" s="2" t="inlineStr">
        <is>
          <t>Unknown</t>
        </is>
      </c>
      <c r="U51" s="2" t="inlineStr">
        <is>
          <t>Unknown</t>
        </is>
      </c>
      <c r="V51" s="2" t="inlineStr">
        <is>
          <t>Website; phone</t>
        </is>
      </c>
      <c r="W51" s="2" t="inlineStr">
        <is>
          <t>None found</t>
        </is>
      </c>
      <c r="X51" s="2" t="inlineStr">
        <is>
          <t>None found</t>
        </is>
      </c>
      <c r="Y51" s="2" t="inlineStr">
        <is>
          <t>None found</t>
        </is>
      </c>
      <c r="Z51" s="2" t="inlineStr">
        <is>
          <t>Phone/website enquiries</t>
        </is>
      </c>
      <c r="AA51" s="2" t="inlineStr">
        <is>
          <t>Quote request automation</t>
        </is>
      </c>
      <c r="AB51" s="2" t="inlineStr">
        <is>
          <t>Low</t>
        </is>
      </c>
      <c r="AC51" s="2" t="inlineStr">
        <is>
          <t>Your company installs solar from Commerce Township, Michigan.</t>
        </is>
      </c>
      <c r="AD51" s="2" t="inlineStr">
        <is>
          <t>Supports the quote request automation idea: Phone/website enquiries</t>
        </is>
      </c>
      <c r="AE51" s="2" t="inlineStr">
        <is>
          <t>I was looking at your website and saw that your company installs solar from Commerce Township, Michigan.</t>
        </is>
      </c>
      <c r="AF51" s="2" t="inlineStr">
        <is>
          <t>Quote requests at Solar King</t>
        </is>
      </c>
      <c r="AG51" s="2" t="inlineStr">
        <is>
          <t>Hi Solar King team,
I was looking at your website and saw that your company installs solar from Commerce Township, Michigan.
I work with businesses on AI and workflow automation. For a solar company like Solar King,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1" s="2" t="inlineStr">
        <is>
          <t>https://solarkingmi.com/</t>
        </is>
      </c>
      <c r="AI51" s="2" t="inlineStr">
        <is>
          <t>Site title 'Solar Panel Installation in Commerce Township, MI - Solar King'.</t>
        </is>
      </c>
      <c r="AJ51" s="2" t="inlineStr">
        <is>
          <t>Company website</t>
        </is>
      </c>
      <c r="AK51" s="2" t="inlineStr">
        <is>
          <t>Medium</t>
        </is>
      </c>
      <c r="AL51" s="2" t="inlineStr">
        <is>
          <t>Reject</t>
        </is>
      </c>
      <c r="AM51" s="2" t="inlineStr">
        <is>
          <t>Not Sent</t>
        </is>
      </c>
      <c r="AN51" s="2" t="n"/>
      <c r="AO51" s="2" t="inlineStr">
        <is>
          <t>Batch 1 | No email seen in search results; search budget exhausted before a contact-page lookup. | No publicly verified business email found.</t>
        </is>
      </c>
    </row>
    <row r="52">
      <c r="A52" s="2" t="inlineStr"/>
      <c r="B52" s="2" t="inlineStr">
        <is>
          <t>Ailey Solar</t>
        </is>
      </c>
      <c r="C52" s="2" t="inlineStr"/>
      <c r="D52" s="2" t="inlineStr"/>
      <c r="E52" s="2" t="inlineStr"/>
      <c r="F52" s="2" t="inlineStr">
        <is>
          <t>United States</t>
        </is>
      </c>
      <c r="G52" s="2" t="inlineStr">
        <is>
          <t>Illinois</t>
        </is>
      </c>
      <c r="H52" s="2" t="inlineStr">
        <is>
          <t>Chicago</t>
        </is>
      </c>
      <c r="I52" s="2" t="inlineStr">
        <is>
          <t>https://aileysolarelectric.com/</t>
        </is>
      </c>
      <c r="J52" s="2" t="inlineStr">
        <is>
          <t>Residential &amp; commercial solar installer</t>
        </is>
      </c>
      <c r="K52" s="2" t="inlineStr">
        <is>
          <t>Solar PV</t>
        </is>
      </c>
      <c r="L52" s="2" t="inlineStr">
        <is>
          <t>Residential &amp; Commercial</t>
        </is>
      </c>
      <c r="M52" s="2" t="inlineStr">
        <is>
          <t>Unknown</t>
        </is>
      </c>
      <c r="N52" s="2" t="inlineStr">
        <is>
          <t>Chicagoland</t>
        </is>
      </c>
      <c r="O52" s="2" t="inlineStr">
        <is>
          <t>Unknown</t>
        </is>
      </c>
      <c r="P52" s="2" t="inlineStr">
        <is>
          <t>Unknown</t>
        </is>
      </c>
      <c r="Q52" s="2" t="inlineStr">
        <is>
          <t>Unknown</t>
        </is>
      </c>
      <c r="R52" s="2" t="inlineStr">
        <is>
          <t>Unknown</t>
        </is>
      </c>
      <c r="S52" s="2" t="inlineStr">
        <is>
          <t>Unknown</t>
        </is>
      </c>
      <c r="T52" s="2" t="inlineStr">
        <is>
          <t>Unknown</t>
        </is>
      </c>
      <c r="U52" s="2" t="inlineStr">
        <is>
          <t>Unknown</t>
        </is>
      </c>
      <c r="V52" s="2" t="inlineStr">
        <is>
          <t>Website; phone</t>
        </is>
      </c>
      <c r="W52" s="2" t="inlineStr">
        <is>
          <t>None found</t>
        </is>
      </c>
      <c r="X52" s="2" t="inlineStr">
        <is>
          <t>None found</t>
        </is>
      </c>
      <c r="Y52" s="2" t="inlineStr">
        <is>
          <t>None found</t>
        </is>
      </c>
      <c r="Z52" s="2" t="inlineStr">
        <is>
          <t>Phone/website enquiries</t>
        </is>
      </c>
      <c r="AA52" s="2" t="inlineStr">
        <is>
          <t>Quote request automation</t>
        </is>
      </c>
      <c r="AB52" s="2" t="inlineStr">
        <is>
          <t>Medium</t>
        </is>
      </c>
      <c r="AC52" s="2" t="inlineStr">
        <is>
          <t>Your company has served Chicagoland homes and businesses with solar for 17 years.</t>
        </is>
      </c>
      <c r="AD52" s="2" t="inlineStr">
        <is>
          <t>Supports the quote request automation idea: Phone/website enquiries</t>
        </is>
      </c>
      <c r="AE52" s="2" t="inlineStr">
        <is>
          <t>I came across Ailey Solar and noticed your company has served Chicagoland homes and businesses with solar for 17 years.</t>
        </is>
      </c>
      <c r="AF52" s="2" t="inlineStr">
        <is>
          <t>A solar quote workflow idea</t>
        </is>
      </c>
      <c r="AG52" s="2" t="inlineStr">
        <is>
          <t>Hi Ailey Solar team,
I came across Ailey Solar and noticed your company has served Chicagoland homes and businesses with solar for 17 years.
I work with businesses on AI and workflow automation. For a solar company like Ailey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2" s="2" t="inlineStr">
        <is>
          <t>https://aileysolarelectric.com/</t>
        </is>
      </c>
      <c r="AI52" s="2" t="inlineStr">
        <is>
          <t>Chicagoland solar installer for 17 years (summary).</t>
        </is>
      </c>
      <c r="AJ52" s="2" t="inlineStr">
        <is>
          <t>Company website</t>
        </is>
      </c>
      <c r="AK52" s="2" t="inlineStr">
        <is>
          <t>Medium</t>
        </is>
      </c>
      <c r="AL52" s="2" t="inlineStr">
        <is>
          <t>Reject</t>
        </is>
      </c>
      <c r="AM52" s="2" t="inlineStr">
        <is>
          <t>Not Sent</t>
        </is>
      </c>
      <c r="AN52" s="2" t="n"/>
      <c r="AO52" s="2" t="inlineStr">
        <is>
          <t>Batch 1 | No email seen in search results; search budget exhausted before a contact-page lookup. | No publicly verified business email found.</t>
        </is>
      </c>
    </row>
    <row r="53">
      <c r="A53" s="2" t="inlineStr"/>
      <c r="B53" s="2" t="inlineStr">
        <is>
          <t>Kapital Electric</t>
        </is>
      </c>
      <c r="C53" s="2" t="inlineStr"/>
      <c r="D53" s="2" t="inlineStr"/>
      <c r="E53" s="2" t="inlineStr"/>
      <c r="F53" s="2" t="inlineStr">
        <is>
          <t>United States</t>
        </is>
      </c>
      <c r="G53" s="2" t="inlineStr">
        <is>
          <t>Illinois</t>
        </is>
      </c>
      <c r="H53" s="2" t="inlineStr">
        <is>
          <t>Chicago</t>
        </is>
      </c>
      <c r="I53" s="2" t="inlineStr">
        <is>
          <t>https://www.kapitalelectric.com/</t>
        </is>
      </c>
      <c r="J53" s="2" t="inlineStr">
        <is>
          <t>Residential &amp; commercial solar installer</t>
        </is>
      </c>
      <c r="K53" s="2" t="inlineStr">
        <is>
          <t>Solar PV install &amp; maintenance, electrical</t>
        </is>
      </c>
      <c r="L53" s="2" t="inlineStr">
        <is>
          <t>Residential &amp; Commercial</t>
        </is>
      </c>
      <c r="M53" s="2" t="inlineStr">
        <is>
          <t>Unknown</t>
        </is>
      </c>
      <c r="N53" s="2" t="inlineStr">
        <is>
          <t>Chicago, Northern Illinois, NW Indiana</t>
        </is>
      </c>
      <c r="O53" s="2" t="inlineStr">
        <is>
          <t>Unknown</t>
        </is>
      </c>
      <c r="P53" s="2" t="inlineStr">
        <is>
          <t>Unknown</t>
        </is>
      </c>
      <c r="Q53" s="2" t="inlineStr">
        <is>
          <t>Unknown</t>
        </is>
      </c>
      <c r="R53" s="2" t="inlineStr">
        <is>
          <t>Unknown</t>
        </is>
      </c>
      <c r="S53" s="2" t="inlineStr">
        <is>
          <t>Unknown</t>
        </is>
      </c>
      <c r="T53" s="2" t="inlineStr">
        <is>
          <t>Unknown</t>
        </is>
      </c>
      <c r="U53" s="2" t="inlineStr">
        <is>
          <t>Unknown</t>
        </is>
      </c>
      <c r="V53" s="2" t="inlineStr">
        <is>
          <t>Website; phone</t>
        </is>
      </c>
      <c r="W53" s="2" t="inlineStr">
        <is>
          <t>None found</t>
        </is>
      </c>
      <c r="X53" s="2" t="inlineStr">
        <is>
          <t>None found</t>
        </is>
      </c>
      <c r="Y53" s="2" t="inlineStr">
        <is>
          <t>None found</t>
        </is>
      </c>
      <c r="Z53" s="2" t="inlineStr">
        <is>
          <t>Phone/website enquiries</t>
        </is>
      </c>
      <c r="AA53" s="2" t="inlineStr">
        <is>
          <t>Post installation follow up</t>
        </is>
      </c>
      <c r="AB53" s="2" t="inlineStr">
        <is>
          <t>Medium</t>
        </is>
      </c>
      <c r="AC53" s="2" t="inlineStr">
        <is>
          <t>Your company offers both solar installation and maintenance in Chicago.</t>
        </is>
      </c>
      <c r="AD53" s="2" t="inlineStr">
        <is>
          <t>Supports the post installation follow up idea: Phone/website enquiries</t>
        </is>
      </c>
      <c r="AE53" s="2" t="inlineStr">
        <is>
          <t>I noticed your company offers both solar installation and maintenance in Chicago.</t>
        </is>
      </c>
      <c r="AF53" s="2" t="inlineStr">
        <is>
          <t>An idea for Kapital Electric customers</t>
        </is>
      </c>
      <c r="AG53" s="2" t="inlineStr">
        <is>
          <t>Hi Kapital Electric team,
I noticed your company offers both solar installation and maintenance in Chicago.
I work with businesses on AI and workflow automation. For a solar company like Kapital Electric, after each install, an automatic follow up could check the customer is happy, share monitoring tips, and ask for a review or referral.
More reviews and referrals without adding admin work.
Would it be useful if I showed you how this could work with your current setup?
Best,
[Sender Name]
AI Automation Specialist</t>
        </is>
      </c>
      <c r="AH53" s="2" t="inlineStr">
        <is>
          <t>https://www.kapitalelectric.com/</t>
        </is>
      </c>
      <c r="AI53" s="2" t="inlineStr">
        <is>
          <t>Site title 'Solar Panel Installation and Maintenance in Chicago, IL'; ICC-certified installer (summary).</t>
        </is>
      </c>
      <c r="AJ53" s="2" t="inlineStr">
        <is>
          <t>Company website</t>
        </is>
      </c>
      <c r="AK53" s="2" t="inlineStr">
        <is>
          <t>Medium</t>
        </is>
      </c>
      <c r="AL53" s="2" t="inlineStr">
        <is>
          <t>Reject</t>
        </is>
      </c>
      <c r="AM53" s="2" t="inlineStr">
        <is>
          <t>Not Sent</t>
        </is>
      </c>
      <c r="AN53" s="2" t="n"/>
      <c r="AO53" s="2" t="inlineStr">
        <is>
          <t>Batch 1 | No email seen in search results; search budget exhausted before a contact-page lookup. | No publicly verified business email found.</t>
        </is>
      </c>
    </row>
    <row r="54">
      <c r="A54" s="2" t="inlineStr"/>
      <c r="B54" s="2" t="inlineStr">
        <is>
          <t>Chicago Solar Energy Company</t>
        </is>
      </c>
      <c r="C54" s="2" t="inlineStr"/>
      <c r="D54" s="2" t="inlineStr"/>
      <c r="E54" s="2" t="inlineStr"/>
      <c r="F54" s="2" t="inlineStr">
        <is>
          <t>United States</t>
        </is>
      </c>
      <c r="G54" s="2" t="inlineStr">
        <is>
          <t>Illinois</t>
        </is>
      </c>
      <c r="H54" s="2" t="inlineStr">
        <is>
          <t>Chicago</t>
        </is>
      </c>
      <c r="I54" s="2" t="inlineStr">
        <is>
          <t>https://chicagosolarenergycompany.com/</t>
        </is>
      </c>
      <c r="J54" s="2" t="inlineStr">
        <is>
          <t>Residential solar installer</t>
        </is>
      </c>
      <c r="K54" s="2" t="inlineStr">
        <is>
          <t>Solar PV</t>
        </is>
      </c>
      <c r="L54" s="2" t="inlineStr">
        <is>
          <t>Residential</t>
        </is>
      </c>
      <c r="M54" s="2" t="inlineStr">
        <is>
          <t>Unknown</t>
        </is>
      </c>
      <c r="N54" s="2" t="inlineStr">
        <is>
          <t>Chicago</t>
        </is>
      </c>
      <c r="O54" s="2" t="inlineStr">
        <is>
          <t>Unknown</t>
        </is>
      </c>
      <c r="P54" s="2" t="inlineStr">
        <is>
          <t>Yes</t>
        </is>
      </c>
      <c r="Q54" s="2" t="inlineStr">
        <is>
          <t>Unknown</t>
        </is>
      </c>
      <c r="R54" s="2" t="inlineStr">
        <is>
          <t>Unknown</t>
        </is>
      </c>
      <c r="S54" s="2" t="inlineStr">
        <is>
          <t>Unknown</t>
        </is>
      </c>
      <c r="T54" s="2" t="inlineStr">
        <is>
          <t>Unknown</t>
        </is>
      </c>
      <c r="U54" s="2" t="inlineStr">
        <is>
          <t>Unknown</t>
        </is>
      </c>
      <c r="V54" s="2" t="inlineStr">
        <is>
          <t>Website; phone</t>
        </is>
      </c>
      <c r="W54" s="2" t="inlineStr">
        <is>
          <t>None found</t>
        </is>
      </c>
      <c r="X54" s="2" t="inlineStr">
        <is>
          <t>None found</t>
        </is>
      </c>
      <c r="Y54" s="2" t="inlineStr">
        <is>
          <t>None found</t>
        </is>
      </c>
      <c r="Z54" s="2" t="inlineStr">
        <is>
          <t>Website quote/contact form + phone</t>
        </is>
      </c>
      <c r="AA54" s="2" t="inlineStr">
        <is>
          <t>Quote request automation</t>
        </is>
      </c>
      <c r="AB54" s="2" t="inlineStr">
        <is>
          <t>Low</t>
        </is>
      </c>
      <c r="AC54" s="2" t="inlineStr">
        <is>
          <t>Your homepage advertises free estimates by phone.</t>
        </is>
      </c>
      <c r="AD54" s="2" t="inlineStr">
        <is>
          <t>Supports the quote request automation idea: Website quote/contact form + phone</t>
        </is>
      </c>
      <c r="AE54" s="2" t="inlineStr">
        <is>
          <t>I was looking at your website and saw that your homepage advertises free estimates by phone.</t>
        </is>
      </c>
      <c r="AF54" s="2" t="inlineStr">
        <is>
          <t>A solar quote workflow idea</t>
        </is>
      </c>
      <c r="AG54" s="2" t="inlineStr">
        <is>
          <t>Hi Chicago Solar Energy Company team,
I was looking at your website and saw that your homepage advertises free estimates by phone.
I work with businesses on AI and workflow automation. For a solar company like Chicago Solar Energy Company,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4" s="2" t="inlineStr">
        <is>
          <t>https://chicagosolarenergycompany.com/</t>
        </is>
      </c>
      <c r="AI54" s="2" t="inlineStr">
        <is>
          <t>Site title 'Chicago Solar Energy FREE ESTIMATES Call us 312-779-1550'.</t>
        </is>
      </c>
      <c r="AJ54" s="2" t="inlineStr">
        <is>
          <t>Company website</t>
        </is>
      </c>
      <c r="AK54" s="2" t="inlineStr">
        <is>
          <t>Medium</t>
        </is>
      </c>
      <c r="AL54" s="2" t="inlineStr">
        <is>
          <t>Reject</t>
        </is>
      </c>
      <c r="AM54" s="2" t="inlineStr">
        <is>
          <t>Not Sent</t>
        </is>
      </c>
      <c r="AN54" s="2" t="n"/>
      <c r="AO54" s="2" t="inlineStr">
        <is>
          <t>Batch 1 | No email seen in search results; search budget exhausted before a contact-page lookup. | No publicly verified business email found.</t>
        </is>
      </c>
    </row>
    <row r="55">
      <c r="A55" s="2" t="inlineStr"/>
      <c r="B55" s="2" t="inlineStr">
        <is>
          <t>CB Solar</t>
        </is>
      </c>
      <c r="C55" s="2" t="inlineStr"/>
      <c r="D55" s="2" t="inlineStr"/>
      <c r="E55" s="2" t="inlineStr"/>
      <c r="F55" s="2" t="inlineStr">
        <is>
          <t>United States</t>
        </is>
      </c>
      <c r="G55" s="2" t="inlineStr">
        <is>
          <t>Iowa</t>
        </is>
      </c>
      <c r="H55" s="2" t="inlineStr"/>
      <c r="I55" s="2" t="inlineStr">
        <is>
          <t>https://www.cbsolarinc.com/</t>
        </is>
      </c>
      <c r="J55" s="2" t="inlineStr">
        <is>
          <t>Residential &amp; commercial solar installer</t>
        </is>
      </c>
      <c r="K55" s="2" t="inlineStr">
        <is>
          <t>Solar PV</t>
        </is>
      </c>
      <c r="L55" s="2" t="inlineStr">
        <is>
          <t>Residential &amp; Commercial</t>
        </is>
      </c>
      <c r="M55" s="2" t="inlineStr">
        <is>
          <t>Unknown</t>
        </is>
      </c>
      <c r="N55" s="2" t="inlineStr">
        <is>
          <t>Iowa</t>
        </is>
      </c>
      <c r="O55" s="2" t="inlineStr">
        <is>
          <t>Unknown</t>
        </is>
      </c>
      <c r="P55" s="2" t="inlineStr">
        <is>
          <t>Unknown</t>
        </is>
      </c>
      <c r="Q55" s="2" t="inlineStr">
        <is>
          <t>Unknown</t>
        </is>
      </c>
      <c r="R55" s="2" t="inlineStr">
        <is>
          <t>Unknown</t>
        </is>
      </c>
      <c r="S55" s="2" t="inlineStr">
        <is>
          <t>Unknown</t>
        </is>
      </c>
      <c r="T55" s="2" t="inlineStr">
        <is>
          <t>Unknown</t>
        </is>
      </c>
      <c r="U55" s="2" t="inlineStr">
        <is>
          <t>Unknown</t>
        </is>
      </c>
      <c r="V55" s="2" t="inlineStr">
        <is>
          <t>Website; phone</t>
        </is>
      </c>
      <c r="W55" s="2" t="inlineStr">
        <is>
          <t>None found</t>
        </is>
      </c>
      <c r="X55" s="2" t="inlineStr">
        <is>
          <t>None found</t>
        </is>
      </c>
      <c r="Y55" s="2" t="inlineStr">
        <is>
          <t>None found</t>
        </is>
      </c>
      <c r="Z55" s="2" t="inlineStr">
        <is>
          <t>Phone/website enquiries</t>
        </is>
      </c>
      <c r="AA55" s="2" t="inlineStr">
        <is>
          <t>Quote request automation</t>
        </is>
      </c>
      <c r="AB55" s="2" t="inlineStr">
        <is>
          <t>Medium</t>
        </is>
      </c>
      <c r="AC55" s="2" t="inlineStr">
        <is>
          <t>Your company installs solar across Iowa.</t>
        </is>
      </c>
      <c r="AD55" s="2" t="inlineStr">
        <is>
          <t>Supports the quote request automation idea: Phone/website enquiries</t>
        </is>
      </c>
      <c r="AE55" s="2" t="inlineStr">
        <is>
          <t>I came across CB Solar and noticed your company installs solar across Iowa.</t>
        </is>
      </c>
      <c r="AF55" s="2" t="inlineStr">
        <is>
          <t>Quote requests at CB Solar</t>
        </is>
      </c>
      <c r="AG55" s="2" t="inlineStr">
        <is>
          <t>Hi CB Solar team,
I came across CB Solar and noticed your company installs solar across Iowa.
I work with businesses on AI and workflow automation. For a solar company like CB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5" s="2" t="inlineStr">
        <is>
          <t>https://www.cbsolarinc.com/</t>
        </is>
      </c>
      <c r="AI55" s="2" t="inlineStr">
        <is>
          <t>Site title 'CB Solar: Iowa Solar Panel Installers, Solar Energy Contractors'.</t>
        </is>
      </c>
      <c r="AJ55" s="2" t="inlineStr">
        <is>
          <t>Company website</t>
        </is>
      </c>
      <c r="AK55" s="2" t="inlineStr">
        <is>
          <t>Medium</t>
        </is>
      </c>
      <c r="AL55" s="2" t="inlineStr">
        <is>
          <t>Reject</t>
        </is>
      </c>
      <c r="AM55" s="2" t="inlineStr">
        <is>
          <t>Not Sent</t>
        </is>
      </c>
      <c r="AN55" s="2" t="n"/>
      <c r="AO55" s="2" t="inlineStr">
        <is>
          <t>Batch 1 | No email seen in search results; search budget exhausted before a contact-page lookup. | No publicly verified business email found.</t>
        </is>
      </c>
    </row>
    <row r="56">
      <c r="A56" s="2" t="inlineStr"/>
      <c r="B56" s="2" t="inlineStr">
        <is>
          <t>ECG Solar</t>
        </is>
      </c>
      <c r="C56" s="2" t="inlineStr"/>
      <c r="D56" s="2" t="inlineStr"/>
      <c r="E56" s="2" t="inlineStr"/>
      <c r="F56" s="2" t="inlineStr">
        <is>
          <t>United States</t>
        </is>
      </c>
      <c r="G56" s="2" t="inlineStr">
        <is>
          <t>Iowa</t>
        </is>
      </c>
      <c r="H56" s="2" t="inlineStr"/>
      <c r="I56" s="2" t="inlineStr">
        <is>
          <t>https://ecgsolar.com/</t>
        </is>
      </c>
      <c r="J56" s="2" t="inlineStr">
        <is>
          <t>Residential &amp; commercial solar installer</t>
        </is>
      </c>
      <c r="K56" s="2" t="inlineStr">
        <is>
          <t>Solar PV</t>
        </is>
      </c>
      <c r="L56" s="2" t="inlineStr">
        <is>
          <t>Residential &amp; Commercial</t>
        </is>
      </c>
      <c r="M56" s="2" t="inlineStr">
        <is>
          <t>Unknown</t>
        </is>
      </c>
      <c r="N56" s="2" t="inlineStr">
        <is>
          <t>Iowa incl. Des Moines</t>
        </is>
      </c>
      <c r="O56" s="2" t="inlineStr">
        <is>
          <t>Unknown</t>
        </is>
      </c>
      <c r="P56" s="2" t="inlineStr">
        <is>
          <t>Unknown</t>
        </is>
      </c>
      <c r="Q56" s="2" t="inlineStr">
        <is>
          <t>Unknown</t>
        </is>
      </c>
      <c r="R56" s="2" t="inlineStr">
        <is>
          <t>Unknown</t>
        </is>
      </c>
      <c r="S56" s="2" t="inlineStr">
        <is>
          <t>Unknown</t>
        </is>
      </c>
      <c r="T56" s="2" t="inlineStr">
        <is>
          <t>Unknown</t>
        </is>
      </c>
      <c r="U56" s="2" t="inlineStr">
        <is>
          <t>Unknown</t>
        </is>
      </c>
      <c r="V56" s="2" t="inlineStr">
        <is>
          <t>Website; phone</t>
        </is>
      </c>
      <c r="W56" s="2" t="inlineStr">
        <is>
          <t>None found</t>
        </is>
      </c>
      <c r="X56" s="2" t="inlineStr">
        <is>
          <t>None found</t>
        </is>
      </c>
      <c r="Y56" s="2" t="inlineStr">
        <is>
          <t>None found</t>
        </is>
      </c>
      <c r="Z56" s="2" t="inlineStr">
        <is>
          <t>Phone/website enquiries</t>
        </is>
      </c>
      <c r="AA56" s="2" t="inlineStr">
        <is>
          <t>Quote request automation</t>
        </is>
      </c>
      <c r="AB56" s="2" t="inlineStr">
        <is>
          <t>Medium</t>
        </is>
      </c>
      <c r="AC56" s="2" t="inlineStr">
        <is>
          <t>Your site has a Des Moines location page for solar contracting.</t>
        </is>
      </c>
      <c r="AD56" s="2" t="inlineStr">
        <is>
          <t>Supports the quote request automation idea: Phone/website enquiries</t>
        </is>
      </c>
      <c r="AE56" s="2" t="inlineStr">
        <is>
          <t>I noticed your site has a Des Moines location page for solar contracting.</t>
        </is>
      </c>
      <c r="AF56" s="2" t="inlineStr">
        <is>
          <t>A solar quote workflow idea</t>
        </is>
      </c>
      <c r="AG56" s="2" t="inlineStr">
        <is>
          <t>Hi ECG Solar team,
I noticed your site has a Des Moines location page for solar contracting.
I work with businesses on AI and workflow automation. For a solar company like ECG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6" s="2" t="inlineStr">
        <is>
          <t>https://ecgsolar.com/locations/des-moines-ia/solar-contractors-des-moines-ia/</t>
        </is>
      </c>
      <c r="AI56" s="2" t="inlineStr">
        <is>
          <t>Des Moines location page; 10+ years serving Des Moines (summary).</t>
        </is>
      </c>
      <c r="AJ56" s="2" t="inlineStr">
        <is>
          <t>Company website</t>
        </is>
      </c>
      <c r="AK56" s="2" t="inlineStr">
        <is>
          <t>Medium</t>
        </is>
      </c>
      <c r="AL56" s="2" t="inlineStr">
        <is>
          <t>Reject</t>
        </is>
      </c>
      <c r="AM56" s="2" t="inlineStr">
        <is>
          <t>Not Sent</t>
        </is>
      </c>
      <c r="AN56" s="2" t="n"/>
      <c r="AO56" s="2" t="inlineStr">
        <is>
          <t>Batch 1 | No email seen in search results; search budget exhausted before a contact-page lookup. | No publicly verified business email found.</t>
        </is>
      </c>
    </row>
    <row r="57">
      <c r="A57" s="2" t="inlineStr"/>
      <c r="B57" s="2" t="inlineStr">
        <is>
          <t>Iowa Solar</t>
        </is>
      </c>
      <c r="C57" s="2" t="inlineStr"/>
      <c r="D57" s="2" t="inlineStr"/>
      <c r="E57" s="2" t="inlineStr"/>
      <c r="F57" s="2" t="inlineStr">
        <is>
          <t>United States</t>
        </is>
      </c>
      <c r="G57" s="2" t="inlineStr">
        <is>
          <t>Iowa</t>
        </is>
      </c>
      <c r="H57" s="2" t="inlineStr"/>
      <c r="I57" s="2" t="inlineStr">
        <is>
          <t>https://iowasolar.com/</t>
        </is>
      </c>
      <c r="J57" s="2" t="inlineStr">
        <is>
          <t>Residential &amp; commercial solar installer</t>
        </is>
      </c>
      <c r="K57" s="2" t="inlineStr">
        <is>
          <t>Solar PV</t>
        </is>
      </c>
      <c r="L57" s="2" t="inlineStr">
        <is>
          <t>Residential &amp; Commercial</t>
        </is>
      </c>
      <c r="M57" s="2" t="inlineStr">
        <is>
          <t>Unknown</t>
        </is>
      </c>
      <c r="N57" s="2" t="inlineStr">
        <is>
          <t>Quad Cities &amp; central Iowa</t>
        </is>
      </c>
      <c r="O57" s="2" t="inlineStr">
        <is>
          <t>Unknown</t>
        </is>
      </c>
      <c r="P57" s="2" t="inlineStr">
        <is>
          <t>Unknown</t>
        </is>
      </c>
      <c r="Q57" s="2" t="inlineStr">
        <is>
          <t>Unknown</t>
        </is>
      </c>
      <c r="R57" s="2" t="inlineStr">
        <is>
          <t>Unknown</t>
        </is>
      </c>
      <c r="S57" s="2" t="inlineStr">
        <is>
          <t>Unknown</t>
        </is>
      </c>
      <c r="T57" s="2" t="inlineStr">
        <is>
          <t>Unknown</t>
        </is>
      </c>
      <c r="U57" s="2" t="inlineStr">
        <is>
          <t>Unknown</t>
        </is>
      </c>
      <c r="V57" s="2" t="inlineStr">
        <is>
          <t>Website; phone</t>
        </is>
      </c>
      <c r="W57" s="2" t="inlineStr">
        <is>
          <t>None found</t>
        </is>
      </c>
      <c r="X57" s="2" t="inlineStr">
        <is>
          <t>None found</t>
        </is>
      </c>
      <c r="Y57" s="2" t="inlineStr">
        <is>
          <t>None found</t>
        </is>
      </c>
      <c r="Z57" s="2" t="inlineStr">
        <is>
          <t>Phone/website enquiries</t>
        </is>
      </c>
      <c r="AA57" s="2" t="inlineStr">
        <is>
          <t>Quote request automation</t>
        </is>
      </c>
      <c r="AB57" s="2" t="inlineStr">
        <is>
          <t>Medium</t>
        </is>
      </c>
      <c r="AC57" s="2" t="inlineStr">
        <is>
          <t>Your company serves both the Quad Cities and Des Moines.</t>
        </is>
      </c>
      <c r="AD57" s="2" t="inlineStr">
        <is>
          <t>Supports the quote request automation idea: Phone/website enquiries</t>
        </is>
      </c>
      <c r="AE57" s="2" t="inlineStr">
        <is>
          <t>I was looking at your website and saw that your company serves both the Quad Cities and Des Moines.</t>
        </is>
      </c>
      <c r="AF57" s="2" t="inlineStr">
        <is>
          <t>Quote requests at Iowa Solar</t>
        </is>
      </c>
      <c r="AG57" s="2" t="inlineStr">
        <is>
          <t>Hi Iowa Solar team,
I was looking at your website and saw that your company serves both the Quad Cities and Des Moines.
I work with businesses on AI and workflow automation. For a solar company like Iowa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7" s="2" t="inlineStr">
        <is>
          <t>https://iowasolar.com/des-moines-ia/</t>
        </is>
      </c>
      <c r="AI57" s="2" t="inlineStr">
        <is>
          <t>Site title 'Iowa Solar - The Quad Cities Solar Home'; Des Moines page.</t>
        </is>
      </c>
      <c r="AJ57" s="2" t="inlineStr">
        <is>
          <t>Company website</t>
        </is>
      </c>
      <c r="AK57" s="2" t="inlineStr">
        <is>
          <t>Medium</t>
        </is>
      </c>
      <c r="AL57" s="2" t="inlineStr">
        <is>
          <t>Reject</t>
        </is>
      </c>
      <c r="AM57" s="2" t="inlineStr">
        <is>
          <t>Not Sent</t>
        </is>
      </c>
      <c r="AN57" s="2" t="n"/>
      <c r="AO57" s="2" t="inlineStr">
        <is>
          <t>Batch 1 | No email seen in search results; search budget exhausted before a contact-page lookup. | No publicly verified business email found.</t>
        </is>
      </c>
    </row>
    <row r="58">
      <c r="A58" s="2" t="inlineStr"/>
      <c r="B58" s="2" t="inlineStr">
        <is>
          <t>1 Source Solar</t>
        </is>
      </c>
      <c r="C58" s="2" t="inlineStr"/>
      <c r="D58" s="2" t="inlineStr"/>
      <c r="E58" s="2" t="inlineStr"/>
      <c r="F58" s="2" t="inlineStr">
        <is>
          <t>United States</t>
        </is>
      </c>
      <c r="G58" s="2" t="inlineStr">
        <is>
          <t>Iowa</t>
        </is>
      </c>
      <c r="H58" s="2" t="inlineStr">
        <is>
          <t>Ankeny</t>
        </is>
      </c>
      <c r="I58" s="2" t="inlineStr">
        <is>
          <t>https://1sourcesolar.com/</t>
        </is>
      </c>
      <c r="J58" s="2" t="inlineStr">
        <is>
          <t>Residential &amp; commercial solar installer</t>
        </is>
      </c>
      <c r="K58" s="2" t="inlineStr">
        <is>
          <t>Solar PV</t>
        </is>
      </c>
      <c r="L58" s="2" t="inlineStr">
        <is>
          <t>Residential &amp; Commercial</t>
        </is>
      </c>
      <c r="M58" s="2" t="inlineStr">
        <is>
          <t>Unknown</t>
        </is>
      </c>
      <c r="N58" s="2" t="inlineStr">
        <is>
          <t>Iowa &amp; the Midwest</t>
        </is>
      </c>
      <c r="O58" s="2" t="inlineStr">
        <is>
          <t>Unknown</t>
        </is>
      </c>
      <c r="P58" s="2" t="inlineStr">
        <is>
          <t>Unknown</t>
        </is>
      </c>
      <c r="Q58" s="2" t="inlineStr">
        <is>
          <t>Unknown</t>
        </is>
      </c>
      <c r="R58" s="2" t="inlineStr">
        <is>
          <t>Unknown</t>
        </is>
      </c>
      <c r="S58" s="2" t="inlineStr">
        <is>
          <t>Unknown</t>
        </is>
      </c>
      <c r="T58" s="2" t="inlineStr">
        <is>
          <t>Unknown</t>
        </is>
      </c>
      <c r="U58" s="2" t="inlineStr">
        <is>
          <t>Unknown</t>
        </is>
      </c>
      <c r="V58" s="2" t="inlineStr">
        <is>
          <t>Website; phone</t>
        </is>
      </c>
      <c r="W58" s="2" t="inlineStr">
        <is>
          <t>None found</t>
        </is>
      </c>
      <c r="X58" s="2" t="inlineStr">
        <is>
          <t>Satellite offices (summary)</t>
        </is>
      </c>
      <c r="Y58" s="2" t="inlineStr">
        <is>
          <t>None found</t>
        </is>
      </c>
      <c r="Z58" s="2" t="inlineStr">
        <is>
          <t>Phone/website enquiries</t>
        </is>
      </c>
      <c r="AA58" s="2" t="inlineStr">
        <is>
          <t>Quote request automation</t>
        </is>
      </c>
      <c r="AB58" s="2" t="inlineStr">
        <is>
          <t>High</t>
        </is>
      </c>
      <c r="AC58" s="2" t="inlineStr">
        <is>
          <t>Your company runs satellite offices across the Midwest from Ankeny, Iowa.</t>
        </is>
      </c>
      <c r="AD58" s="2" t="inlineStr">
        <is>
          <t>Supports the quote request automation idea: Phone/website enquiries</t>
        </is>
      </c>
      <c r="AE58" s="2" t="inlineStr">
        <is>
          <t>I came across 1 Source Solar and noticed your company runs satellite offices across the Midwest from Ankeny, Iowa.</t>
        </is>
      </c>
      <c r="AF58" s="2" t="inlineStr">
        <is>
          <t>A solar quote workflow idea</t>
        </is>
      </c>
      <c r="AG58" s="2" t="inlineStr">
        <is>
          <t>Hi 1 Source Solar team,
I came across 1 Source Solar and noticed your company runs satellite offices across the Midwest from Ankeny, Iowa.
I work with businesses on AI and workflow automation. For a solar company like 1 Source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8" s="2" t="inlineStr">
        <is>
          <t>https://1sourcesolar.com/</t>
        </is>
      </c>
      <c r="AI58" s="2" t="inlineStr">
        <is>
          <t>Based in Ankeny with satellite offices across the Midwest (summary).</t>
        </is>
      </c>
      <c r="AJ58" s="2" t="inlineStr">
        <is>
          <t>Company website</t>
        </is>
      </c>
      <c r="AK58" s="2" t="inlineStr">
        <is>
          <t>Medium</t>
        </is>
      </c>
      <c r="AL58" s="2" t="inlineStr">
        <is>
          <t>Reject</t>
        </is>
      </c>
      <c r="AM58" s="2" t="inlineStr">
        <is>
          <t>Not Sent</t>
        </is>
      </c>
      <c r="AN58" s="2" t="n"/>
      <c r="AO58" s="2" t="inlineStr">
        <is>
          <t>Batch 1 | No email seen in search results; search budget exhausted before a contact-page lookup. | No publicly verified business email found.</t>
        </is>
      </c>
    </row>
    <row r="59">
      <c r="A59" s="2" t="inlineStr"/>
      <c r="B59" s="2" t="inlineStr">
        <is>
          <t>BKJ Solar</t>
        </is>
      </c>
      <c r="C59" s="2" t="inlineStr"/>
      <c r="D59" s="2" t="inlineStr"/>
      <c r="E59" s="2" t="inlineStr"/>
      <c r="F59" s="2" t="inlineStr">
        <is>
          <t>United States</t>
        </is>
      </c>
      <c r="G59" s="2" t="inlineStr">
        <is>
          <t>Missouri</t>
        </is>
      </c>
      <c r="H59" s="2" t="inlineStr">
        <is>
          <t>St. Louis</t>
        </is>
      </c>
      <c r="I59" s="2" t="inlineStr">
        <is>
          <t>https://www.bkjsolar.com/</t>
        </is>
      </c>
      <c r="J59" s="2" t="inlineStr">
        <is>
          <t>Residential &amp; commercial solar installer</t>
        </is>
      </c>
      <c r="K59" s="2" t="inlineStr">
        <is>
          <t>Solar PV</t>
        </is>
      </c>
      <c r="L59" s="2" t="inlineStr">
        <is>
          <t>Residential &amp; Commercial</t>
        </is>
      </c>
      <c r="M59" s="2" t="inlineStr">
        <is>
          <t>Unknown</t>
        </is>
      </c>
      <c r="N59" s="2" t="inlineStr">
        <is>
          <t>St. Louis</t>
        </is>
      </c>
      <c r="O59" s="2" t="inlineStr">
        <is>
          <t>Unknown</t>
        </is>
      </c>
      <c r="P59" s="2" t="inlineStr">
        <is>
          <t>Unknown</t>
        </is>
      </c>
      <c r="Q59" s="2" t="inlineStr">
        <is>
          <t>Unknown</t>
        </is>
      </c>
      <c r="R59" s="2" t="inlineStr">
        <is>
          <t>Unknown</t>
        </is>
      </c>
      <c r="S59" s="2" t="inlineStr">
        <is>
          <t>Unknown</t>
        </is>
      </c>
      <c r="T59" s="2" t="inlineStr">
        <is>
          <t>Unknown</t>
        </is>
      </c>
      <c r="U59" s="2" t="inlineStr">
        <is>
          <t>Unknown</t>
        </is>
      </c>
      <c r="V59" s="2" t="inlineStr">
        <is>
          <t>Website; phone</t>
        </is>
      </c>
      <c r="W59" s="2" t="inlineStr">
        <is>
          <t>None found</t>
        </is>
      </c>
      <c r="X59" s="2" t="inlineStr">
        <is>
          <t>None found</t>
        </is>
      </c>
      <c r="Y59" s="2" t="inlineStr">
        <is>
          <t>None found</t>
        </is>
      </c>
      <c r="Z59" s="2" t="inlineStr">
        <is>
          <t>Phone/website enquiries</t>
        </is>
      </c>
      <c r="AA59" s="2" t="inlineStr">
        <is>
          <t>Quote request automation</t>
        </is>
      </c>
      <c r="AB59" s="2" t="inlineStr">
        <is>
          <t>Low</t>
        </is>
      </c>
      <c r="AC59" s="2" t="inlineStr">
        <is>
          <t>Your company installs solar in St. Louis.</t>
        </is>
      </c>
      <c r="AD59" s="2" t="inlineStr">
        <is>
          <t>Supports the quote request automation idea: Phone/website enquiries</t>
        </is>
      </c>
      <c r="AE59" s="2" t="inlineStr">
        <is>
          <t>I noticed your company installs solar in St. Louis.</t>
        </is>
      </c>
      <c r="AF59" s="2" t="inlineStr">
        <is>
          <t>Quote requests at BKJ Solar</t>
        </is>
      </c>
      <c r="AG59" s="2" t="inlineStr">
        <is>
          <t>Hi BKJ Solar team,
I noticed your company installs solar in St. Louis.
I work with businesses on AI and workflow automation. For a solar company like BKJ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59" s="2" t="inlineStr">
        <is>
          <t>https://www.bkjsolar.com/</t>
        </is>
      </c>
      <c r="AI59" s="2" t="inlineStr">
        <is>
          <t>Site title 'Solar Installation Companies St Louis, MO | BKJ Solar'.</t>
        </is>
      </c>
      <c r="AJ59" s="2" t="inlineStr">
        <is>
          <t>Company website</t>
        </is>
      </c>
      <c r="AK59" s="2" t="inlineStr">
        <is>
          <t>Medium</t>
        </is>
      </c>
      <c r="AL59" s="2" t="inlineStr">
        <is>
          <t>Reject</t>
        </is>
      </c>
      <c r="AM59" s="2" t="inlineStr">
        <is>
          <t>Not Sent</t>
        </is>
      </c>
      <c r="AN59" s="2" t="n"/>
      <c r="AO59" s="2" t="inlineStr">
        <is>
          <t>Batch 1 | No email seen in search results; search budget exhausted before a contact-page lookup. | No publicly verified business email found.</t>
        </is>
      </c>
    </row>
    <row r="60">
      <c r="A60" s="2" t="inlineStr"/>
      <c r="B60" s="2" t="inlineStr">
        <is>
          <t>StraightUp Solar</t>
        </is>
      </c>
      <c r="C60" s="2" t="inlineStr"/>
      <c r="D60" s="2" t="inlineStr"/>
      <c r="E60" s="2" t="inlineStr"/>
      <c r="F60" s="2" t="inlineStr">
        <is>
          <t>United States</t>
        </is>
      </c>
      <c r="G60" s="2" t="inlineStr">
        <is>
          <t>Missouri</t>
        </is>
      </c>
      <c r="H60" s="2" t="inlineStr">
        <is>
          <t>St. Louis</t>
        </is>
      </c>
      <c r="I60" s="2" t="inlineStr">
        <is>
          <t>https://straightupsolar.com/</t>
        </is>
      </c>
      <c r="J60" s="2" t="inlineStr">
        <is>
          <t>Residential &amp; commercial solar installer</t>
        </is>
      </c>
      <c r="K60" s="2" t="inlineStr">
        <is>
          <t>Solar PV</t>
        </is>
      </c>
      <c r="L60" s="2" t="inlineStr">
        <is>
          <t>Residential &amp; Commercial</t>
        </is>
      </c>
      <c r="M60" s="2" t="inlineStr">
        <is>
          <t>Unknown</t>
        </is>
      </c>
      <c r="N60" s="2" t="inlineStr">
        <is>
          <t>Missouri &amp; Illinois</t>
        </is>
      </c>
      <c r="O60" s="2" t="inlineStr">
        <is>
          <t>Unknown</t>
        </is>
      </c>
      <c r="P60" s="2" t="inlineStr">
        <is>
          <t>Unknown</t>
        </is>
      </c>
      <c r="Q60" s="2" t="inlineStr">
        <is>
          <t>Unknown</t>
        </is>
      </c>
      <c r="R60" s="2" t="inlineStr">
        <is>
          <t>Unknown</t>
        </is>
      </c>
      <c r="S60" s="2" t="inlineStr">
        <is>
          <t>Unknown</t>
        </is>
      </c>
      <c r="T60" s="2" t="inlineStr">
        <is>
          <t>Unknown</t>
        </is>
      </c>
      <c r="U60" s="2" t="inlineStr">
        <is>
          <t>Unknown</t>
        </is>
      </c>
      <c r="V60" s="2" t="inlineStr">
        <is>
          <t>Website; phone</t>
        </is>
      </c>
      <c r="W60" s="2" t="inlineStr">
        <is>
          <t>None found</t>
        </is>
      </c>
      <c r="X60" s="2" t="inlineStr">
        <is>
          <t>None found</t>
        </is>
      </c>
      <c r="Y60" s="2" t="inlineStr">
        <is>
          <t>None found</t>
        </is>
      </c>
      <c r="Z60" s="2" t="inlineStr">
        <is>
          <t>Phone/website enquiries</t>
        </is>
      </c>
      <c r="AA60" s="2" t="inlineStr">
        <is>
          <t>Quote request automation</t>
        </is>
      </c>
      <c r="AB60" s="2" t="inlineStr">
        <is>
          <t>Medium</t>
        </is>
      </c>
      <c r="AC60" s="2" t="inlineStr">
        <is>
          <t>Your site has a dedicated page for St. Louis city and county.</t>
        </is>
      </c>
      <c r="AD60" s="2" t="inlineStr">
        <is>
          <t>Supports the quote request automation idea: Phone/website enquiries</t>
        </is>
      </c>
      <c r="AE60" s="2" t="inlineStr">
        <is>
          <t>I noticed your site has a dedicated page for St. Louis city and county.</t>
        </is>
      </c>
      <c r="AF60" s="2" t="inlineStr">
        <is>
          <t>A solar quote workflow idea</t>
        </is>
      </c>
      <c r="AG60" s="2" t="inlineStr">
        <is>
          <t>Hi StraightUp Solar team,
I noticed your site has a dedicated page for St. Louis city and county.
I work with businesses on AI and workflow automation. For a solar company like StraightUp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60" s="2" t="inlineStr">
        <is>
          <t>https://straightupsolar.com/st-louis-city-county/</t>
        </is>
      </c>
      <c r="AI60" s="2" t="inlineStr">
        <is>
          <t>St. Louis city/county page.</t>
        </is>
      </c>
      <c r="AJ60" s="2" t="inlineStr">
        <is>
          <t>Company website</t>
        </is>
      </c>
      <c r="AK60" s="2" t="inlineStr">
        <is>
          <t>Medium</t>
        </is>
      </c>
      <c r="AL60" s="2" t="inlineStr">
        <is>
          <t>Reject</t>
        </is>
      </c>
      <c r="AM60" s="2" t="inlineStr">
        <is>
          <t>Not Sent</t>
        </is>
      </c>
      <c r="AN60" s="2" t="n"/>
      <c r="AO60" s="2" t="inlineStr">
        <is>
          <t>Batch 1 | No email seen in search results; search budget exhausted before a contact-page lookup. | No publicly verified business email found.</t>
        </is>
      </c>
    </row>
    <row r="61">
      <c r="A61" s="2" t="inlineStr"/>
      <c r="B61" s="2" t="inlineStr">
        <is>
          <t>SunSent</t>
        </is>
      </c>
      <c r="C61" s="2" t="inlineStr"/>
      <c r="D61" s="2" t="inlineStr"/>
      <c r="E61" s="2" t="inlineStr"/>
      <c r="F61" s="2" t="inlineStr">
        <is>
          <t>United States</t>
        </is>
      </c>
      <c r="G61" s="2" t="inlineStr">
        <is>
          <t>Missouri</t>
        </is>
      </c>
      <c r="H61" s="2" t="inlineStr">
        <is>
          <t>St. Louis</t>
        </is>
      </c>
      <c r="I61" s="2" t="inlineStr">
        <is>
          <t>https://sunsent.com/</t>
        </is>
      </c>
      <c r="J61" s="2" t="inlineStr">
        <is>
          <t>Roofing + solar contractor</t>
        </is>
      </c>
      <c r="K61" s="2" t="inlineStr">
        <is>
          <t>Solar PV, roofing</t>
        </is>
      </c>
      <c r="L61" s="2" t="inlineStr">
        <is>
          <t>Residential</t>
        </is>
      </c>
      <c r="M61" s="2" t="inlineStr">
        <is>
          <t>Unknown</t>
        </is>
      </c>
      <c r="N61" s="2" t="inlineStr">
        <is>
          <t>Missouri, Illinois &amp; Kansas</t>
        </is>
      </c>
      <c r="O61" s="2" t="inlineStr">
        <is>
          <t>Unknown</t>
        </is>
      </c>
      <c r="P61" s="2" t="inlineStr">
        <is>
          <t>Unknown</t>
        </is>
      </c>
      <c r="Q61" s="2" t="inlineStr">
        <is>
          <t>Unknown</t>
        </is>
      </c>
      <c r="R61" s="2" t="inlineStr">
        <is>
          <t>Unknown</t>
        </is>
      </c>
      <c r="S61" s="2" t="inlineStr">
        <is>
          <t>Unknown</t>
        </is>
      </c>
      <c r="T61" s="2" t="inlineStr">
        <is>
          <t>Unknown</t>
        </is>
      </c>
      <c r="U61" s="2" t="inlineStr">
        <is>
          <t>Unknown</t>
        </is>
      </c>
      <c r="V61" s="2" t="inlineStr">
        <is>
          <t>Website; phone</t>
        </is>
      </c>
      <c r="W61" s="2" t="inlineStr">
        <is>
          <t>None found</t>
        </is>
      </c>
      <c r="X61" s="2" t="inlineStr">
        <is>
          <t>3-state service area</t>
        </is>
      </c>
      <c r="Y61" s="2" t="inlineStr">
        <is>
          <t>None found</t>
        </is>
      </c>
      <c r="Z61" s="2" t="inlineStr">
        <is>
          <t>Phone/website enquiries</t>
        </is>
      </c>
      <c r="AA61" s="2" t="inlineStr">
        <is>
          <t>Quote request automation</t>
        </is>
      </c>
      <c r="AB61" s="2" t="inlineStr">
        <is>
          <t>Medium</t>
        </is>
      </c>
      <c r="AC61" s="2" t="inlineStr">
        <is>
          <t>Your company offers solar and roofing across Missouri, Illinois and Kansas.</t>
        </is>
      </c>
      <c r="AD61" s="2" t="inlineStr">
        <is>
          <t>Supports the quote request automation idea: Phone/website enquiries</t>
        </is>
      </c>
      <c r="AE61" s="2" t="inlineStr">
        <is>
          <t>I came across SunSent and noticed your company offers solar and roofing across Missouri, Illinois and Kansas.</t>
        </is>
      </c>
      <c r="AF61" s="2" t="inlineStr">
        <is>
          <t>Quote requests at SunSent</t>
        </is>
      </c>
      <c r="AG61" s="2" t="inlineStr">
        <is>
          <t>Hi SunSent team,
I came across SunSent and noticed your company offers solar and roofing across Missouri, Illinois and Kansas.
I work with businesses on AI and workflow automation. For a solar company like SunSent,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61" s="2" t="inlineStr">
        <is>
          <t>https://sunsent.com/</t>
        </is>
      </c>
      <c r="AI61" s="2" t="inlineStr">
        <is>
          <t>Site title 'Solar &amp; Roofing in Missouri, Illinois &amp; Kansas | SunSent'.</t>
        </is>
      </c>
      <c r="AJ61" s="2" t="inlineStr">
        <is>
          <t>Company website</t>
        </is>
      </c>
      <c r="AK61" s="2" t="inlineStr">
        <is>
          <t>Medium</t>
        </is>
      </c>
      <c r="AL61" s="2" t="inlineStr">
        <is>
          <t>Reject</t>
        </is>
      </c>
      <c r="AM61" s="2" t="inlineStr">
        <is>
          <t>Not Sent</t>
        </is>
      </c>
      <c r="AN61" s="2" t="n"/>
      <c r="AO61" s="2" t="inlineStr">
        <is>
          <t>Batch 1 | No email seen in search results; search budget exhausted before a contact-page lookup. | No publicly verified business email found.</t>
        </is>
      </c>
    </row>
    <row r="62">
      <c r="A62" s="2" t="inlineStr"/>
      <c r="B62" s="2" t="inlineStr">
        <is>
          <t>proSOLAR</t>
        </is>
      </c>
      <c r="C62" s="2" t="inlineStr"/>
      <c r="D62" s="2" t="inlineStr"/>
      <c r="E62" s="2" t="inlineStr"/>
      <c r="F62" s="2" t="inlineStr">
        <is>
          <t>United States</t>
        </is>
      </c>
      <c r="G62" s="2" t="inlineStr">
        <is>
          <t>Missouri</t>
        </is>
      </c>
      <c r="H62" s="2" t="inlineStr">
        <is>
          <t>St. Louis</t>
        </is>
      </c>
      <c r="I62" s="2" t="inlineStr">
        <is>
          <t>https://www.prosolarstl.com/</t>
        </is>
      </c>
      <c r="J62" s="2" t="inlineStr">
        <is>
          <t>Residential &amp; commercial solar installer</t>
        </is>
      </c>
      <c r="K62" s="2" t="inlineStr">
        <is>
          <t>Solar PV</t>
        </is>
      </c>
      <c r="L62" s="2" t="inlineStr">
        <is>
          <t>Residential &amp; Commercial</t>
        </is>
      </c>
      <c r="M62" s="2" t="inlineStr">
        <is>
          <t>Unknown</t>
        </is>
      </c>
      <c r="N62" s="2" t="inlineStr">
        <is>
          <t>St. Louis</t>
        </is>
      </c>
      <c r="O62" s="2" t="inlineStr">
        <is>
          <t>Unknown</t>
        </is>
      </c>
      <c r="P62" s="2" t="inlineStr">
        <is>
          <t>Unknown</t>
        </is>
      </c>
      <c r="Q62" s="2" t="inlineStr">
        <is>
          <t>Unknown</t>
        </is>
      </c>
      <c r="R62" s="2" t="inlineStr">
        <is>
          <t>Unknown</t>
        </is>
      </c>
      <c r="S62" s="2" t="inlineStr">
        <is>
          <t>Unknown</t>
        </is>
      </c>
      <c r="T62" s="2" t="inlineStr">
        <is>
          <t>Unknown</t>
        </is>
      </c>
      <c r="U62" s="2" t="inlineStr">
        <is>
          <t>Unknown</t>
        </is>
      </c>
      <c r="V62" s="2" t="inlineStr">
        <is>
          <t>Website; phone</t>
        </is>
      </c>
      <c r="W62" s="2" t="inlineStr">
        <is>
          <t>None found</t>
        </is>
      </c>
      <c r="X62" s="2" t="inlineStr">
        <is>
          <t>None found</t>
        </is>
      </c>
      <c r="Y62" s="2" t="inlineStr">
        <is>
          <t>None found</t>
        </is>
      </c>
      <c r="Z62" s="2" t="inlineStr">
        <is>
          <t>Phone/website enquiries</t>
        </is>
      </c>
      <c r="AA62" s="2" t="inlineStr">
        <is>
          <t>Quote request automation</t>
        </is>
      </c>
      <c r="AB62" s="2" t="inlineStr">
        <is>
          <t>Low</t>
        </is>
      </c>
      <c r="AC62" s="2" t="inlineStr">
        <is>
          <t>Your company installs solar across St. Louis.</t>
        </is>
      </c>
      <c r="AD62" s="2" t="inlineStr">
        <is>
          <t>Supports the quote request automation idea: Phone/website enquiries</t>
        </is>
      </c>
      <c r="AE62" s="2" t="inlineStr">
        <is>
          <t>I noticed your company installs solar across St. Louis.</t>
        </is>
      </c>
      <c r="AF62" s="2" t="inlineStr">
        <is>
          <t>A solar quote workflow idea</t>
        </is>
      </c>
      <c r="AG62" s="2" t="inlineStr">
        <is>
          <t>Hi proSOLAR team,
I noticed your company installs solar across St. Louis.
I work with businesses on AI and workflow automation. For a solar company like proSOLAR,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62" s="2" t="inlineStr">
        <is>
          <t>https://www.prosolarstl.com/</t>
        </is>
      </c>
      <c r="AI62" s="2" t="inlineStr">
        <is>
          <t>Site title 'Solar Installation St. Louis, MO | proSOLAR Solar Experts'.</t>
        </is>
      </c>
      <c r="AJ62" s="2" t="inlineStr">
        <is>
          <t>Company website</t>
        </is>
      </c>
      <c r="AK62" s="2" t="inlineStr">
        <is>
          <t>Medium</t>
        </is>
      </c>
      <c r="AL62" s="2" t="inlineStr">
        <is>
          <t>Reject</t>
        </is>
      </c>
      <c r="AM62" s="2" t="inlineStr">
        <is>
          <t>Not Sent</t>
        </is>
      </c>
      <c r="AN62" s="2" t="n"/>
      <c r="AO62" s="2" t="inlineStr">
        <is>
          <t>Batch 1 | No email seen in search results; search budget exhausted before a contact-page lookup. | No publicly verified business email found.</t>
        </is>
      </c>
    </row>
    <row r="63">
      <c r="A63" s="2" t="inlineStr"/>
      <c r="B63" s="2" t="inlineStr">
        <is>
          <t>Helio GreenTech</t>
        </is>
      </c>
      <c r="C63" s="2" t="inlineStr"/>
      <c r="D63" s="2" t="inlineStr"/>
      <c r="E63" s="2" t="inlineStr"/>
      <c r="F63" s="2" t="inlineStr">
        <is>
          <t>United States</t>
        </is>
      </c>
      <c r="G63" s="2" t="inlineStr">
        <is>
          <t>Missouri</t>
        </is>
      </c>
      <c r="H63" s="2" t="inlineStr">
        <is>
          <t>Kansas City</t>
        </is>
      </c>
      <c r="I63" s="2" t="inlineStr">
        <is>
          <t>https://www.heliogt.com/</t>
        </is>
      </c>
      <c r="J63" s="2" t="inlineStr">
        <is>
          <t>Residential solar installer</t>
        </is>
      </c>
      <c r="K63" s="2" t="inlineStr">
        <is>
          <t>Solar PV, home solutions</t>
        </is>
      </c>
      <c r="L63" s="2" t="inlineStr">
        <is>
          <t>Residential</t>
        </is>
      </c>
      <c r="M63" s="2" t="inlineStr">
        <is>
          <t>Unknown</t>
        </is>
      </c>
      <c r="N63" s="2" t="inlineStr">
        <is>
          <t>Kansas City metro</t>
        </is>
      </c>
      <c r="O63" s="2" t="inlineStr">
        <is>
          <t>Unknown</t>
        </is>
      </c>
      <c r="P63" s="2" t="inlineStr">
        <is>
          <t>Unknown</t>
        </is>
      </c>
      <c r="Q63" s="2" t="inlineStr">
        <is>
          <t>Unknown</t>
        </is>
      </c>
      <c r="R63" s="2" t="inlineStr">
        <is>
          <t>Unknown</t>
        </is>
      </c>
      <c r="S63" s="2" t="inlineStr">
        <is>
          <t>Unknown</t>
        </is>
      </c>
      <c r="T63" s="2" t="inlineStr">
        <is>
          <t>Unknown</t>
        </is>
      </c>
      <c r="U63" s="2" t="inlineStr">
        <is>
          <t>Unknown</t>
        </is>
      </c>
      <c r="V63" s="2" t="inlineStr">
        <is>
          <t>Website; phone</t>
        </is>
      </c>
      <c r="W63" s="2" t="inlineStr">
        <is>
          <t>None found</t>
        </is>
      </c>
      <c r="X63" s="2" t="inlineStr">
        <is>
          <t>None found</t>
        </is>
      </c>
      <c r="Y63" s="2" t="inlineStr">
        <is>
          <t>None found</t>
        </is>
      </c>
      <c r="Z63" s="2" t="inlineStr">
        <is>
          <t>Phone/website enquiries</t>
        </is>
      </c>
      <c r="AA63" s="2" t="inlineStr">
        <is>
          <t>Quote request automation</t>
        </is>
      </c>
      <c r="AB63" s="2" t="inlineStr">
        <is>
          <t>Medium</t>
        </is>
      </c>
      <c r="AC63" s="2" t="inlineStr">
        <is>
          <t>Your company has been voted Best Solar Company in Kansas City four years in a row.</t>
        </is>
      </c>
      <c r="AD63" s="2" t="inlineStr">
        <is>
          <t>Supports the quote request automation idea: Phone/website enquiries</t>
        </is>
      </c>
      <c r="AE63" s="2" t="inlineStr">
        <is>
          <t>I was looking at your website and saw that your company has been voted Best Solar Company in Kansas City four years in a row.</t>
        </is>
      </c>
      <c r="AF63" s="2" t="inlineStr">
        <is>
          <t>Quote requests at Helio GreenTech</t>
        </is>
      </c>
      <c r="AG63" s="2" t="inlineStr">
        <is>
          <t>Hi Helio GreenTech team,
I was looking at your website and saw that your company has been voted Best Solar Company in Kansas City four years in a row.
I work with businesses on AI and workflow automation. For a solar company like Helio GreenTech,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63" s="2" t="inlineStr">
        <is>
          <t>https://www.heliogt.com/</t>
        </is>
      </c>
      <c r="AI63" s="2" t="inlineStr">
        <is>
          <t>Voted Best Solar Company in Kansas City four years running (summary).</t>
        </is>
      </c>
      <c r="AJ63" s="2" t="inlineStr">
        <is>
          <t>Company website</t>
        </is>
      </c>
      <c r="AK63" s="2" t="inlineStr">
        <is>
          <t>Medium</t>
        </is>
      </c>
      <c r="AL63" s="2" t="inlineStr">
        <is>
          <t>Reject</t>
        </is>
      </c>
      <c r="AM63" s="2" t="inlineStr">
        <is>
          <t>Not Sent</t>
        </is>
      </c>
      <c r="AN63" s="2" t="n"/>
      <c r="AO63" s="2" t="inlineStr">
        <is>
          <t>Batch 1 | Award from search summary only; state could be MO or KS. | No publicly verified business email found.</t>
        </is>
      </c>
    </row>
    <row r="64">
      <c r="A64" s="2" t="inlineStr"/>
      <c r="B64" s="2" t="inlineStr">
        <is>
          <t>PLS Consulting</t>
        </is>
      </c>
      <c r="C64" s="2" t="inlineStr"/>
      <c r="D64" s="2" t="inlineStr"/>
      <c r="E64" s="2" t="inlineStr"/>
      <c r="F64" s="2" t="inlineStr">
        <is>
          <t>United States</t>
        </is>
      </c>
      <c r="G64" s="2" t="inlineStr">
        <is>
          <t>Missouri</t>
        </is>
      </c>
      <c r="H64" s="2" t="inlineStr">
        <is>
          <t>Kansas City</t>
        </is>
      </c>
      <c r="I64" s="2" t="inlineStr">
        <is>
          <t>https://www.plsconsults.com/</t>
        </is>
      </c>
      <c r="J64" s="2" t="inlineStr">
        <is>
          <t>Residential &amp; commercial solar installer</t>
        </is>
      </c>
      <c r="K64" s="2" t="inlineStr">
        <is>
          <t>Solar PV</t>
        </is>
      </c>
      <c r="L64" s="2" t="inlineStr">
        <is>
          <t>Residential, Commercial &amp; Rural</t>
        </is>
      </c>
      <c r="M64" s="2" t="inlineStr">
        <is>
          <t>Unknown</t>
        </is>
      </c>
      <c r="N64" s="2" t="inlineStr">
        <is>
          <t>Kansas City metro</t>
        </is>
      </c>
      <c r="O64" s="2" t="inlineStr">
        <is>
          <t>Unknown</t>
        </is>
      </c>
      <c r="P64" s="2" t="inlineStr">
        <is>
          <t>Unknown</t>
        </is>
      </c>
      <c r="Q64" s="2" t="inlineStr">
        <is>
          <t>Unknown</t>
        </is>
      </c>
      <c r="R64" s="2" t="inlineStr">
        <is>
          <t>Unknown</t>
        </is>
      </c>
      <c r="S64" s="2" t="inlineStr">
        <is>
          <t>Unknown</t>
        </is>
      </c>
      <c r="T64" s="2" t="inlineStr">
        <is>
          <t>Unknown</t>
        </is>
      </c>
      <c r="U64" s="2" t="inlineStr">
        <is>
          <t>Unknown</t>
        </is>
      </c>
      <c r="V64" s="2" t="inlineStr">
        <is>
          <t>Website; phone</t>
        </is>
      </c>
      <c r="W64" s="2" t="inlineStr">
        <is>
          <t>None found</t>
        </is>
      </c>
      <c r="X64" s="2" t="inlineStr">
        <is>
          <t>None found</t>
        </is>
      </c>
      <c r="Y64" s="2" t="inlineStr">
        <is>
          <t>None found</t>
        </is>
      </c>
      <c r="Z64" s="2" t="inlineStr">
        <is>
          <t>Phone/website enquiries</t>
        </is>
      </c>
      <c r="AA64" s="2" t="inlineStr">
        <is>
          <t>Quote request automation</t>
        </is>
      </c>
      <c r="AB64" s="2" t="inlineStr">
        <is>
          <t>Medium</t>
        </is>
      </c>
      <c r="AC64" s="2" t="inlineStr">
        <is>
          <t>Your family-owned company handles residential, commercial and rural solar around Kansas City.</t>
        </is>
      </c>
      <c r="AD64" s="2" t="inlineStr">
        <is>
          <t>Supports the quote request automation idea: Phone/website enquiries</t>
        </is>
      </c>
      <c r="AE64" s="2" t="inlineStr">
        <is>
          <t>I came across PLS Consulting and noticed your family-owned company handles residential, commercial and rural solar around Kansas City.</t>
        </is>
      </c>
      <c r="AF64" s="2" t="inlineStr">
        <is>
          <t>A solar quote workflow idea</t>
        </is>
      </c>
      <c r="AG64" s="2" t="inlineStr">
        <is>
          <t>Hi PLS Consulting team,
I came across PLS Consulting and noticed your family-owned company handles residential, commercial and rural solar around Kansas City.
I work with businesses on AI and workflow automation. For a solar company like PLS Consulting,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64" s="2" t="inlineStr">
        <is>
          <t>https://www.plsconsults.com/</t>
        </is>
      </c>
      <c r="AI64" s="2" t="inlineStr">
        <is>
          <t>Family-owned solar company in KC metro; residential, commercial and rural (summary).</t>
        </is>
      </c>
      <c r="AJ64" s="2" t="inlineStr">
        <is>
          <t>Company website</t>
        </is>
      </c>
      <c r="AK64" s="2" t="inlineStr">
        <is>
          <t>Medium</t>
        </is>
      </c>
      <c r="AL64" s="2" t="inlineStr">
        <is>
          <t>Reject</t>
        </is>
      </c>
      <c r="AM64" s="2" t="inlineStr">
        <is>
          <t>Not Sent</t>
        </is>
      </c>
      <c r="AN64" s="2" t="n"/>
      <c r="AO64" s="2" t="inlineStr">
        <is>
          <t>Batch 1 | State (MO/KS) not confirmed. | No publicly verified business email found.</t>
        </is>
      </c>
    </row>
    <row r="65">
      <c r="A65" s="2" t="inlineStr"/>
      <c r="B65" s="2" t="inlineStr">
        <is>
          <t>Nations Roofing and Solar</t>
        </is>
      </c>
      <c r="C65" s="2" t="inlineStr"/>
      <c r="D65" s="2" t="inlineStr"/>
      <c r="E65" s="2" t="inlineStr"/>
      <c r="F65" s="2" t="inlineStr">
        <is>
          <t>United States</t>
        </is>
      </c>
      <c r="G65" s="2" t="inlineStr">
        <is>
          <t>Missouri</t>
        </is>
      </c>
      <c r="H65" s="2" t="inlineStr">
        <is>
          <t>Kansas City</t>
        </is>
      </c>
      <c r="I65" s="2" t="inlineStr">
        <is>
          <t>https://nationsroofingandsolar.com/</t>
        </is>
      </c>
      <c r="J65" s="2" t="inlineStr">
        <is>
          <t>Roofing + solar contractor</t>
        </is>
      </c>
      <c r="K65" s="2" t="inlineStr">
        <is>
          <t>Solar PV, roofing</t>
        </is>
      </c>
      <c r="L65" s="2" t="inlineStr">
        <is>
          <t>Residential</t>
        </is>
      </c>
      <c r="M65" s="2" t="inlineStr">
        <is>
          <t>Unknown</t>
        </is>
      </c>
      <c r="N65" s="2" t="inlineStr">
        <is>
          <t>Kansas City</t>
        </is>
      </c>
      <c r="O65" s="2" t="inlineStr">
        <is>
          <t>Unknown</t>
        </is>
      </c>
      <c r="P65" s="2" t="inlineStr">
        <is>
          <t>Yes</t>
        </is>
      </c>
      <c r="Q65" s="2" t="inlineStr">
        <is>
          <t>Yes</t>
        </is>
      </c>
      <c r="R65" s="2" t="inlineStr">
        <is>
          <t>Unknown</t>
        </is>
      </c>
      <c r="S65" s="2" t="inlineStr">
        <is>
          <t>Unknown</t>
        </is>
      </c>
      <c r="T65" s="2" t="inlineStr">
        <is>
          <t>Unknown</t>
        </is>
      </c>
      <c r="U65" s="2" t="inlineStr">
        <is>
          <t>Unknown</t>
        </is>
      </c>
      <c r="V65" s="2" t="inlineStr">
        <is>
          <t>Website; phone</t>
        </is>
      </c>
      <c r="W65" s="2" t="inlineStr">
        <is>
          <t>None found</t>
        </is>
      </c>
      <c r="X65" s="2" t="inlineStr">
        <is>
          <t>None found</t>
        </is>
      </c>
      <c r="Y65" s="2" t="inlineStr">
        <is>
          <t>None found</t>
        </is>
      </c>
      <c r="Z65" s="2" t="inlineStr">
        <is>
          <t>Website quote/contact form + phone</t>
        </is>
      </c>
      <c r="AA65" s="2" t="inlineStr">
        <is>
          <t>Appointment booking automation</t>
        </is>
      </c>
      <c r="AB65" s="2" t="inlineStr">
        <is>
          <t>Medium</t>
        </is>
      </c>
      <c r="AC65" s="2" t="inlineStr">
        <is>
          <t>Your solar page offers a free estimate and consultation in Kansas City.</t>
        </is>
      </c>
      <c r="AD65" s="2" t="inlineStr">
        <is>
          <t>Supports the appointment booking automation idea: Website quote/contact form + phone</t>
        </is>
      </c>
      <c r="AE65" s="2" t="inlineStr">
        <is>
          <t>I noticed your solar page offers a free estimate and consultation in Kansas City.</t>
        </is>
      </c>
      <c r="AF65" s="2" t="inlineStr">
        <is>
          <t>Solar appointment follow up</t>
        </is>
      </c>
      <c r="AG65" s="2" t="inlineStr">
        <is>
          <t>Hi Nations Roofing and Solar team,
I noticed your solar page offers a free estimate and consultation in Kansas City.
I work with businesses on AI and workflow automation. For a solar company like Nations Roofing and Solar,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65" s="2" t="inlineStr">
        <is>
          <t>https://nationsroofingandsolar.com/service/solar-installation/</t>
        </is>
      </c>
      <c r="AI65" s="2" t="inlineStr">
        <is>
          <t>Solar installation page titled 'Free Estimate &amp; Consultation!'.</t>
        </is>
      </c>
      <c r="AJ65" s="2" t="inlineStr">
        <is>
          <t>Company website</t>
        </is>
      </c>
      <c r="AK65" s="2" t="inlineStr">
        <is>
          <t>Medium</t>
        </is>
      </c>
      <c r="AL65" s="2" t="inlineStr">
        <is>
          <t>Reject</t>
        </is>
      </c>
      <c r="AM65" s="2" t="inlineStr">
        <is>
          <t>Not Sent</t>
        </is>
      </c>
      <c r="AN65" s="2" t="n"/>
      <c r="AO65" s="2" t="inlineStr">
        <is>
          <t>Batch 1 | No email seen in search results; search budget exhausted before a contact-page lookup. | No publicly verified business email found.</t>
        </is>
      </c>
    </row>
    <row r="66">
      <c r="A66" s="2" t="inlineStr"/>
      <c r="B66" s="2" t="inlineStr">
        <is>
          <t>J-Tech Construction &amp; Solar</t>
        </is>
      </c>
      <c r="C66" s="2" t="inlineStr"/>
      <c r="D66" s="2" t="inlineStr"/>
      <c r="E66" s="2" t="inlineStr"/>
      <c r="F66" s="2" t="inlineStr">
        <is>
          <t>United States</t>
        </is>
      </c>
      <c r="G66" s="2" t="inlineStr">
        <is>
          <t>Nebraska</t>
        </is>
      </c>
      <c r="H66" s="2" t="inlineStr"/>
      <c r="I66" s="2" t="inlineStr">
        <is>
          <t>https://jtechconst.com/</t>
        </is>
      </c>
      <c r="J66" s="2" t="inlineStr">
        <is>
          <t>Roofing + solar contractor</t>
        </is>
      </c>
      <c r="K66" s="2" t="inlineStr">
        <is>
          <t>Solar PV, construction</t>
        </is>
      </c>
      <c r="L66" s="2" t="inlineStr">
        <is>
          <t>Residential, Commercial &amp; Agricultural</t>
        </is>
      </c>
      <c r="M66" s="2" t="inlineStr">
        <is>
          <t>Unknown</t>
        </is>
      </c>
      <c r="N66" s="2" t="inlineStr">
        <is>
          <t>Nebraska (Omaha, Lincoln, Grand Island)</t>
        </is>
      </c>
      <c r="O66" s="2" t="inlineStr">
        <is>
          <t>3 (Omaha, Lincoln, Grand Island)</t>
        </is>
      </c>
      <c r="P66" s="2" t="inlineStr">
        <is>
          <t>Unknown</t>
        </is>
      </c>
      <c r="Q66" s="2" t="inlineStr">
        <is>
          <t>Unknown</t>
        </is>
      </c>
      <c r="R66" s="2" t="inlineStr">
        <is>
          <t>Unknown</t>
        </is>
      </c>
      <c r="S66" s="2" t="inlineStr">
        <is>
          <t>Unknown</t>
        </is>
      </c>
      <c r="T66" s="2" t="inlineStr">
        <is>
          <t>Unknown</t>
        </is>
      </c>
      <c r="U66" s="2" t="inlineStr">
        <is>
          <t>Unknown</t>
        </is>
      </c>
      <c r="V66" s="2" t="inlineStr">
        <is>
          <t>Website; phone</t>
        </is>
      </c>
      <c r="W66" s="2" t="inlineStr">
        <is>
          <t>None found</t>
        </is>
      </c>
      <c r="X66" s="2" t="inlineStr">
        <is>
          <t>3 locations</t>
        </is>
      </c>
      <c r="Y66" s="2" t="inlineStr">
        <is>
          <t>None found</t>
        </is>
      </c>
      <c r="Z66" s="2" t="inlineStr">
        <is>
          <t>Phone/website enquiries</t>
        </is>
      </c>
      <c r="AA66" s="2" t="inlineStr">
        <is>
          <t>Quote request automation</t>
        </is>
      </c>
      <c r="AB66" s="2" t="inlineStr">
        <is>
          <t>High</t>
        </is>
      </c>
      <c r="AC66" s="2" t="inlineStr">
        <is>
          <t>Your company has locations in Omaha, Lincoln and Grand Island.</t>
        </is>
      </c>
      <c r="AD66" s="2" t="inlineStr">
        <is>
          <t>Supports the quote request automation idea: Phone/website enquiries</t>
        </is>
      </c>
      <c r="AE66" s="2" t="inlineStr">
        <is>
          <t>I was looking at your website and saw that your company has locations in Omaha, Lincoln and Grand Island.</t>
        </is>
      </c>
      <c r="AF66" s="2" t="inlineStr">
        <is>
          <t>A solar quote workflow idea</t>
        </is>
      </c>
      <c r="AG66" s="2" t="inlineStr">
        <is>
          <t>Hi J-Tech Construction &amp; Solar team,
I was looking at your website and saw that your company has locations in Omaha, Lincoln and Grand Island.
I work with businesses on AI and workflow automation. For a solar company like J-Tech Construction &amp;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66" s="2" t="inlineStr">
        <is>
          <t>https://jtechconst.com/solar-panels/</t>
        </is>
      </c>
      <c r="AI66" s="2" t="inlineStr">
        <is>
          <t>Locations in Omaha, Lincoln and Grand Island (summary).</t>
        </is>
      </c>
      <c r="AJ66" s="2" t="inlineStr">
        <is>
          <t>Company website</t>
        </is>
      </c>
      <c r="AK66" s="2" t="inlineStr">
        <is>
          <t>Medium</t>
        </is>
      </c>
      <c r="AL66" s="2" t="inlineStr">
        <is>
          <t>Reject</t>
        </is>
      </c>
      <c r="AM66" s="2" t="inlineStr">
        <is>
          <t>Not Sent</t>
        </is>
      </c>
      <c r="AN66" s="2" t="n"/>
      <c r="AO66" s="2" t="inlineStr">
        <is>
          <t>Batch 1 | No email seen in search results; search budget exhausted before a contact-page lookup. | No publicly verified business email found.</t>
        </is>
      </c>
    </row>
    <row r="67">
      <c r="A67" s="2" t="inlineStr"/>
      <c r="B67" s="2" t="inlineStr">
        <is>
          <t>Universal Solar Direct</t>
        </is>
      </c>
      <c r="C67" s="2" t="inlineStr"/>
      <c r="D67" s="2" t="inlineStr"/>
      <c r="E67" s="2" t="inlineStr"/>
      <c r="F67" s="2" t="inlineStr">
        <is>
          <t>United States</t>
        </is>
      </c>
      <c r="G67" s="2" t="inlineStr">
        <is>
          <t>Indiana</t>
        </is>
      </c>
      <c r="H67" s="2" t="inlineStr"/>
      <c r="I67" s="2" t="inlineStr">
        <is>
          <t>https://indiana.universalsolardirect.com/</t>
        </is>
      </c>
      <c r="J67" s="2" t="inlineStr">
        <is>
          <t>Residential &amp; commercial solar installer</t>
        </is>
      </c>
      <c r="K67" s="2" t="inlineStr">
        <is>
          <t>Solar PV</t>
        </is>
      </c>
      <c r="L67" s="2" t="inlineStr">
        <is>
          <t>Residential &amp; Commercial</t>
        </is>
      </c>
      <c r="M67" s="2" t="inlineStr">
        <is>
          <t>Unknown</t>
        </is>
      </c>
      <c r="N67" s="2" t="inlineStr">
        <is>
          <t>Indiana</t>
        </is>
      </c>
      <c r="O67" s="2" t="inlineStr">
        <is>
          <t>Unknown</t>
        </is>
      </c>
      <c r="P67" s="2" t="inlineStr">
        <is>
          <t>Unknown</t>
        </is>
      </c>
      <c r="Q67" s="2" t="inlineStr">
        <is>
          <t>Unknown</t>
        </is>
      </c>
      <c r="R67" s="2" t="inlineStr">
        <is>
          <t>Unknown</t>
        </is>
      </c>
      <c r="S67" s="2" t="inlineStr">
        <is>
          <t>Unknown</t>
        </is>
      </c>
      <c r="T67" s="2" t="inlineStr">
        <is>
          <t>Unknown</t>
        </is>
      </c>
      <c r="U67" s="2" t="inlineStr">
        <is>
          <t>Unknown</t>
        </is>
      </c>
      <c r="V67" s="2" t="inlineStr">
        <is>
          <t>Website; phone</t>
        </is>
      </c>
      <c r="W67" s="2" t="inlineStr">
        <is>
          <t>None found</t>
        </is>
      </c>
      <c r="X67" s="2" t="inlineStr">
        <is>
          <t>None found</t>
        </is>
      </c>
      <c r="Y67" s="2" t="inlineStr">
        <is>
          <t>None found</t>
        </is>
      </c>
      <c r="Z67" s="2" t="inlineStr">
        <is>
          <t>Phone/website enquiries</t>
        </is>
      </c>
      <c r="AA67" s="2" t="inlineStr">
        <is>
          <t>Quote request automation</t>
        </is>
      </c>
      <c r="AB67" s="2" t="inlineStr">
        <is>
          <t>Medium</t>
        </is>
      </c>
      <c r="AC67" s="2" t="inlineStr">
        <is>
          <t>Your company runs a dedicated Indiana solar site.</t>
        </is>
      </c>
      <c r="AD67" s="2" t="inlineStr">
        <is>
          <t>Supports the quote request automation idea: Phone/website enquiries</t>
        </is>
      </c>
      <c r="AE67" s="2" t="inlineStr">
        <is>
          <t>I came across Universal Solar Direct and noticed your company runs a dedicated Indiana solar site.</t>
        </is>
      </c>
      <c r="AF67" s="2" t="inlineStr">
        <is>
          <t>Quote requests at Universal Solar Direct</t>
        </is>
      </c>
      <c r="AG67" s="2" t="inlineStr">
        <is>
          <t>Hi Universal Solar Direct team,
I came across Universal Solar Direct and noticed your company runs a dedicated Indiana solar site.
I work with businesses on AI and workflow automation. For a solar company like Universal Solar Direct,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67" s="2" t="inlineStr">
        <is>
          <t>https://indiana.universalsolardirect.com/</t>
        </is>
      </c>
      <c r="AI67" s="2" t="inlineStr">
        <is>
          <t>Site title 'Universal Solar Direct | Indiana #1 Solar Panel Installer'.</t>
        </is>
      </c>
      <c r="AJ67" s="2" t="inlineStr">
        <is>
          <t>Company website</t>
        </is>
      </c>
      <c r="AK67" s="2" t="inlineStr">
        <is>
          <t>Medium</t>
        </is>
      </c>
      <c r="AL67" s="2" t="inlineStr">
        <is>
          <t>Reject</t>
        </is>
      </c>
      <c r="AM67" s="2" t="inlineStr">
        <is>
          <t>Not Sent</t>
        </is>
      </c>
      <c r="AN67" s="2" t="n"/>
      <c r="AO67" s="2" t="inlineStr">
        <is>
          <t>Batch 1 | No email seen in search results; search budget exhausted before a contact-page lookup. | No publicly verified business email found.</t>
        </is>
      </c>
    </row>
    <row r="68">
      <c r="A68" s="2" t="inlineStr"/>
      <c r="B68" s="2" t="inlineStr">
        <is>
          <t>Solar Energy Systems</t>
        </is>
      </c>
      <c r="C68" s="2" t="inlineStr"/>
      <c r="D68" s="2" t="inlineStr"/>
      <c r="E68" s="2" t="inlineStr"/>
      <c r="F68" s="2" t="inlineStr">
        <is>
          <t>United States</t>
        </is>
      </c>
      <c r="G68" s="2" t="inlineStr">
        <is>
          <t>Indiana</t>
        </is>
      </c>
      <c r="H68" s="2" t="inlineStr">
        <is>
          <t>Nappanee</t>
        </is>
      </c>
      <c r="I68" s="2" t="inlineStr">
        <is>
          <t>https://sesindiana.com/</t>
        </is>
      </c>
      <c r="J68" s="2" t="inlineStr">
        <is>
          <t>Residential solar installer</t>
        </is>
      </c>
      <c r="K68" s="2" t="inlineStr">
        <is>
          <t>Solar PV</t>
        </is>
      </c>
      <c r="L68" s="2" t="inlineStr">
        <is>
          <t>Residential</t>
        </is>
      </c>
      <c r="M68" s="2" t="inlineStr">
        <is>
          <t>Unknown</t>
        </is>
      </c>
      <c r="N68" s="2" t="inlineStr">
        <is>
          <t>Northern Indiana</t>
        </is>
      </c>
      <c r="O68" s="2" t="inlineStr">
        <is>
          <t>Unknown</t>
        </is>
      </c>
      <c r="P68" s="2" t="inlineStr">
        <is>
          <t>Unknown</t>
        </is>
      </c>
      <c r="Q68" s="2" t="inlineStr">
        <is>
          <t>Unknown</t>
        </is>
      </c>
      <c r="R68" s="2" t="inlineStr">
        <is>
          <t>Unknown</t>
        </is>
      </c>
      <c r="S68" s="2" t="inlineStr">
        <is>
          <t>Unknown</t>
        </is>
      </c>
      <c r="T68" s="2" t="inlineStr">
        <is>
          <t>Unknown</t>
        </is>
      </c>
      <c r="U68" s="2" t="inlineStr">
        <is>
          <t>Unknown</t>
        </is>
      </c>
      <c r="V68" s="2" t="inlineStr">
        <is>
          <t>Website; phone</t>
        </is>
      </c>
      <c r="W68" s="2" t="inlineStr">
        <is>
          <t>None found</t>
        </is>
      </c>
      <c r="X68" s="2" t="inlineStr">
        <is>
          <t>None found</t>
        </is>
      </c>
      <c r="Y68" s="2" t="inlineStr">
        <is>
          <t>None found</t>
        </is>
      </c>
      <c r="Z68" s="2" t="inlineStr">
        <is>
          <t>Phone/website enquiries</t>
        </is>
      </c>
      <c r="AA68" s="2" t="inlineStr">
        <is>
          <t>Quote request automation</t>
        </is>
      </c>
      <c r="AB68" s="2" t="inlineStr">
        <is>
          <t>Low</t>
        </is>
      </c>
      <c r="AC68" s="2" t="inlineStr">
        <is>
          <t>Your company installs solar from Nappanee, Indiana.</t>
        </is>
      </c>
      <c r="AD68" s="2" t="inlineStr">
        <is>
          <t>Supports the quote request automation idea: Phone/website enquiries</t>
        </is>
      </c>
      <c r="AE68" s="2" t="inlineStr">
        <is>
          <t>I noticed your company installs solar from Nappanee, Indiana.</t>
        </is>
      </c>
      <c r="AF68" s="2" t="inlineStr">
        <is>
          <t>A solar quote workflow idea</t>
        </is>
      </c>
      <c r="AG68" s="2" t="inlineStr">
        <is>
          <t>Hi Solar Energy Systems team,
I noticed your company installs solar from Nappanee, Indiana.
I work with businesses on AI and workflow automation. For a solar company like Solar Energy Systems,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68" s="2" t="inlineStr">
        <is>
          <t>https://sesindiana.com/</t>
        </is>
      </c>
      <c r="AI68" s="2" t="inlineStr">
        <is>
          <t>Site title 'Solar Energy Systems - Solar Installers - Nappanee, IN'.</t>
        </is>
      </c>
      <c r="AJ68" s="2" t="inlineStr">
        <is>
          <t>Company website</t>
        </is>
      </c>
      <c r="AK68" s="2" t="inlineStr">
        <is>
          <t>Medium</t>
        </is>
      </c>
      <c r="AL68" s="2" t="inlineStr">
        <is>
          <t>Reject</t>
        </is>
      </c>
      <c r="AM68" s="2" t="inlineStr">
        <is>
          <t>Not Sent</t>
        </is>
      </c>
      <c r="AN68" s="2" t="n"/>
      <c r="AO68" s="2" t="inlineStr">
        <is>
          <t>Batch 1 | No email seen in search results; search budget exhausted before a contact-page lookup. | No publicly verified business email found.</t>
        </is>
      </c>
    </row>
    <row r="69">
      <c r="A69" s="2" t="inlineStr"/>
      <c r="B69" s="2" t="inlineStr">
        <is>
          <t>Freedom Forever</t>
        </is>
      </c>
      <c r="C69" s="2" t="inlineStr"/>
      <c r="D69" s="2" t="inlineStr"/>
      <c r="E69" s="2" t="inlineStr">
        <is>
          <t>customersupport@freedomforever.com</t>
        </is>
      </c>
      <c r="F69" s="2" t="inlineStr">
        <is>
          <t>United States</t>
        </is>
      </c>
      <c r="G69" s="2" t="inlineStr">
        <is>
          <t>California</t>
        </is>
      </c>
      <c r="H69" s="2" t="inlineStr">
        <is>
          <t>Temecula</t>
        </is>
      </c>
      <c r="I69" s="2" t="inlineStr">
        <is>
          <t>https://freedomforever.com/</t>
        </is>
      </c>
      <c r="J69" s="2" t="inlineStr">
        <is>
          <t>Residential solar installer</t>
        </is>
      </c>
      <c r="K69" s="2" t="inlineStr">
        <is>
          <t>Solar PV, customer support/service</t>
        </is>
      </c>
      <c r="L69" s="2" t="inlineStr">
        <is>
          <t>Residential</t>
        </is>
      </c>
      <c r="M69" s="2" t="inlineStr">
        <is>
          <t>Unknown</t>
        </is>
      </c>
      <c r="N69" s="2" t="inlineStr">
        <is>
          <t>Multi-state (listings in CA, TX, FL and others)</t>
        </is>
      </c>
      <c r="O69" s="2" t="inlineStr">
        <is>
          <t>Multiple (Yelp listings: Commerce CA, Houston TX, Orlando FL)</t>
        </is>
      </c>
      <c r="P69" s="2" t="inlineStr">
        <is>
          <t>Unknown</t>
        </is>
      </c>
      <c r="Q69" s="2" t="inlineStr">
        <is>
          <t>Unknown</t>
        </is>
      </c>
      <c r="R69" s="2" t="inlineStr">
        <is>
          <t>Unknown</t>
        </is>
      </c>
      <c r="S69" s="2" t="inlineStr">
        <is>
          <t>Unknown</t>
        </is>
      </c>
      <c r="T69" s="2" t="inlineStr">
        <is>
          <t>Unknown</t>
        </is>
      </c>
      <c r="U69" s="2" t="inlineStr">
        <is>
          <t>Customer portal + Zendesk help center + phone + email</t>
        </is>
      </c>
      <c r="V69" s="2" t="inlineStr">
        <is>
          <t>Website; dealer store; phone</t>
        </is>
      </c>
      <c r="W69" s="2" t="inlineStr">
        <is>
          <t>Runs a dealer store (dealerstore.freedomforever.com) indicating a dealer/sales network</t>
        </is>
      </c>
      <c r="X69" s="2" t="inlineStr">
        <is>
          <t>Multiple branch listings across CA, TX, FL</t>
        </is>
      </c>
      <c r="Y69" s="2" t="inlineStr">
        <is>
          <t>None found</t>
        </is>
      </c>
      <c r="Z69" s="2" t="inlineStr">
        <is>
          <t>Support handled via email, phone (Mon-Fri 5am-5pm PT) and Zendesk help center</t>
        </is>
      </c>
      <c r="AA69" s="2" t="inlineStr">
        <is>
          <t>Customer support automation</t>
        </is>
      </c>
      <c r="AB69" s="2" t="inlineStr">
        <is>
          <t>High</t>
        </is>
      </c>
      <c r="AC69" s="2" t="inlineStr">
        <is>
          <t>Your customers can reach support at customersupport@freedomforever.com or through your Zendesk help center.</t>
        </is>
      </c>
      <c r="AD69" s="2" t="inlineStr">
        <is>
          <t>Supports the customer support automation idea: Support handled via email, phone (Mon-Fri 5am-5pm PT) and Zendesk help center</t>
        </is>
      </c>
      <c r="AE69" s="2" t="inlineStr">
        <is>
          <t>I was looking at your website and saw that your customers can reach support at customersupport@freedomforever.com or through your Zendesk help center.</t>
        </is>
      </c>
      <c r="AF69" s="2" t="inlineStr">
        <is>
          <t>A support workflow idea for Freedom Forever</t>
        </is>
      </c>
      <c r="AG69" s="2" t="inlineStr">
        <is>
          <t>Hi Freedom Forever team,
I was looking at your website and saw that your customers can reach support at customersupport@freedomforever.com or through your Zendesk help center.
I work with businesses on AI and workflow automation. For a solar company like Freedom Forever,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69" s="2" t="inlineStr">
        <is>
          <t>https://freedomforever.com/about/contact-us/</t>
        </is>
      </c>
      <c r="AI69" s="2" t="inlineStr">
        <is>
          <t>Contact page and FAQ list customersupport@freedomforever.com; customer portal page; Zendesk help center at freedomforevercs.zendesk.com; BBB profile in Temecula CA; Yelp locations in Commerce CA, Houston TX, Orlando FL.</t>
        </is>
      </c>
      <c r="AJ69" s="2" t="inlineStr">
        <is>
          <t>Company website (contact page)</t>
        </is>
      </c>
      <c r="AK69" s="2" t="inlineStr">
        <is>
          <t>High</t>
        </is>
      </c>
      <c r="AL69" s="2" t="inlineStr">
        <is>
          <t>Ready</t>
        </is>
      </c>
      <c r="AM69" s="2" t="inlineStr">
        <is>
          <t>Not Sent</t>
        </is>
      </c>
      <c r="AN69" s="2" t="n"/>
      <c r="AO69" s="2" t="inlineStr">
        <is>
          <t>Batch 1 | HQ city from BBB profile URL.</t>
        </is>
      </c>
    </row>
    <row r="70">
      <c r="A70" s="2" t="inlineStr"/>
      <c r="B70" s="2" t="inlineStr">
        <is>
          <t>Momentum Solar</t>
        </is>
      </c>
      <c r="C70" s="2" t="inlineStr"/>
      <c r="D70" s="2" t="inlineStr"/>
      <c r="E70" s="2" t="inlineStr">
        <is>
          <t>customerexperience@momentumsolar.com</t>
        </is>
      </c>
      <c r="F70" s="2" t="inlineStr">
        <is>
          <t>United States</t>
        </is>
      </c>
      <c r="G70" s="2" t="inlineStr"/>
      <c r="H70" s="2" t="inlineStr"/>
      <c r="I70" s="2" t="inlineStr">
        <is>
          <t>https://www.momentumsolar.com/</t>
        </is>
      </c>
      <c r="J70" s="2" t="inlineStr">
        <is>
          <t>Residential solar installer</t>
        </is>
      </c>
      <c r="K70" s="2" t="inlineStr">
        <is>
          <t>Solar PV, customer service/support</t>
        </is>
      </c>
      <c r="L70" s="2" t="inlineStr">
        <is>
          <t>Residential</t>
        </is>
      </c>
      <c r="M70" s="2" t="inlineStr">
        <is>
          <t>Unknown (770+ reviews on BestCompany)</t>
        </is>
      </c>
      <c r="N70" s="2" t="inlineStr">
        <is>
          <t>Multi-state</t>
        </is>
      </c>
      <c r="O70" s="2" t="inlineStr">
        <is>
          <t>Unknown</t>
        </is>
      </c>
      <c r="P70" s="2" t="inlineStr">
        <is>
          <t>Unknown</t>
        </is>
      </c>
      <c r="Q70" s="2" t="inlineStr">
        <is>
          <t>Unknown</t>
        </is>
      </c>
      <c r="R70" s="2" t="inlineStr">
        <is>
          <t>Unknown</t>
        </is>
      </c>
      <c r="S70" s="2" t="inlineStr">
        <is>
          <t>Unknown</t>
        </is>
      </c>
      <c r="T70" s="2" t="inlineStr">
        <is>
          <t>Unknown</t>
        </is>
      </c>
      <c r="U70" s="2" t="inlineStr">
        <is>
          <t>Phone (1-888-MOMENTUM) + email + customer service chat</t>
        </is>
      </c>
      <c r="V70" s="2" t="inlineStr">
        <is>
          <t>Website; live chat; phone</t>
        </is>
      </c>
      <c r="W70" s="2" t="inlineStr">
        <is>
          <t>None found</t>
        </is>
      </c>
      <c r="X70" s="2" t="inlineStr">
        <is>
          <t>770+ homeowner reviews on BestCompany</t>
        </is>
      </c>
      <c r="Y70" s="2" t="inlineStr">
        <is>
          <t>None found</t>
        </is>
      </c>
      <c r="Z70" s="2" t="inlineStr">
        <is>
          <t>Company reps respond to reviews directing customers to email for issues; chat customer service page</t>
        </is>
      </c>
      <c r="AA70" s="2" t="inlineStr">
        <is>
          <t>Customer support automation</t>
        </is>
      </c>
      <c r="AB70" s="2" t="inlineStr">
        <is>
          <t>High</t>
        </is>
      </c>
      <c r="AC70" s="2" t="inlineStr">
        <is>
          <t>Your team replies to online reviews asking homeowners to email customerexperience@momentumsolar.com.</t>
        </is>
      </c>
      <c r="AD70" s="2" t="inlineStr">
        <is>
          <t>Supports the customer support automation idea: Company reps respond to reviews directing customers to email for issues; chat customer service page</t>
        </is>
      </c>
      <c r="AE70" s="2" t="inlineStr">
        <is>
          <t>I came across Momentum Solar and noticed your team replies to online reviews asking homeowners to email customerexperience@momentumsolar.com.</t>
        </is>
      </c>
      <c r="AF70" s="2" t="inlineStr">
        <is>
          <t>Customer support at Momentum Solar</t>
        </is>
      </c>
      <c r="AG70" s="2" t="inlineStr">
        <is>
          <t>Hi Momentum Solar team,
I came across Momentum Solar and noticed your team replies to online reviews asking homeowners to email customerexperience@momentumsolar.com.
I work with businesses on AI and workflow automation. For a solar company like Momentum Solar,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70" s="2" t="inlineStr">
        <is>
          <t>https://www.momentumsolar.com/contact-us/</t>
        </is>
      </c>
      <c r="AI70" s="2" t="inlineStr">
        <is>
          <t>Email appears in company responses on BestCompany reviews; site has /contact-us/, /chat-customer-service/ and /customer-feedback/ pages.</t>
        </is>
      </c>
      <c r="AJ70" s="2" t="inlineStr">
        <is>
          <t>Company website (contact page) + review site responses</t>
        </is>
      </c>
      <c r="AK70" s="2" t="inlineStr">
        <is>
          <t>Medium</t>
        </is>
      </c>
      <c r="AL70" s="2" t="inlineStr">
        <is>
          <t>Ready</t>
        </is>
      </c>
      <c r="AM70" s="2" t="inlineStr">
        <is>
          <t>Not Sent</t>
        </is>
      </c>
      <c r="AN70" s="2" t="n"/>
      <c r="AO70" s="2" t="inlineStr">
        <is>
          <t>Batch 1 | HQ city not verified in searches (left blank). | Email source: https://bestcompany.com/solar/momentum-solar/reviews</t>
        </is>
      </c>
    </row>
    <row r="71">
      <c r="A71" s="2" t="inlineStr"/>
      <c r="B71" s="2" t="inlineStr">
        <is>
          <t>Solar Energy World</t>
        </is>
      </c>
      <c r="C71" s="2" t="inlineStr"/>
      <c r="D71" s="2" t="inlineStr"/>
      <c r="E71" s="2" t="inlineStr">
        <is>
          <t>service@solarenergyworld.com</t>
        </is>
      </c>
      <c r="F71" s="2" t="inlineStr">
        <is>
          <t>United States</t>
        </is>
      </c>
      <c r="G71" s="2" t="inlineStr">
        <is>
          <t>Maryland</t>
        </is>
      </c>
      <c r="H71" s="2" t="inlineStr">
        <is>
          <t>Laurel</t>
        </is>
      </c>
      <c r="I71" s="2" t="inlineStr">
        <is>
          <t>https://www.solarenergyworld.com/</t>
        </is>
      </c>
      <c r="J71" s="2" t="inlineStr">
        <is>
          <t>Residential solar installer</t>
        </is>
      </c>
      <c r="K71" s="2" t="inlineStr">
        <is>
          <t>Solar PV, service &amp; warranty</t>
        </is>
      </c>
      <c r="L71" s="2" t="inlineStr">
        <is>
          <t>Residential &amp; Commercial</t>
        </is>
      </c>
      <c r="M71" s="2" t="inlineStr">
        <is>
          <t>Unknown</t>
        </is>
      </c>
      <c r="N71" s="2" t="inlineStr">
        <is>
          <t>MD, DC, VA, DE, PA, NJ, FL, NC, SC</t>
        </is>
      </c>
      <c r="O71" s="2" t="inlineStr">
        <is>
          <t>Unknown (HQ Laurel, MD)</t>
        </is>
      </c>
      <c r="P71" s="2" t="inlineStr">
        <is>
          <t>Unknown</t>
        </is>
      </c>
      <c r="Q71" s="2" t="inlineStr">
        <is>
          <t>Unknown</t>
        </is>
      </c>
      <c r="R71" s="2" t="inlineStr">
        <is>
          <t>Unknown</t>
        </is>
      </c>
      <c r="S71" s="2" t="inlineStr">
        <is>
          <t>Unknown</t>
        </is>
      </c>
      <c r="T71" s="2" t="inlineStr">
        <is>
          <t>Unknown</t>
        </is>
      </c>
      <c r="U71" s="2" t="inlineStr">
        <is>
          <t>Service request form + service email + technicians</t>
        </is>
      </c>
      <c r="V71" s="2" t="inlineStr">
        <is>
          <t>Website; phone</t>
        </is>
      </c>
      <c r="W71" s="2" t="inlineStr">
        <is>
          <t>Sales Consultant roles (ZoomInfo)</t>
        </is>
      </c>
      <c r="X71" s="2" t="inlineStr">
        <is>
          <t>Operates across 8+ states; founded 2009; part of Comcast Energy Services since late 2024</t>
        </is>
      </c>
      <c r="Y71" s="2" t="inlineStr">
        <is>
          <t>Service request form; customers told to email if no technician contact within 3 business days</t>
        </is>
      </c>
      <c r="Z71" s="2" t="inlineStr">
        <is>
          <t>Manual service request follow-up (email if no response in 3 business days)</t>
        </is>
      </c>
      <c r="AA71" s="2" t="inlineStr">
        <is>
          <t>Customer support automation</t>
        </is>
      </c>
      <c r="AB71" s="2" t="inlineStr">
        <is>
          <t>High</t>
        </is>
      </c>
      <c r="AC71" s="2" t="inlineStr">
        <is>
          <t>Your service page tells customers to email service@solarenergyworld.com if a technician hasn't contacted them within 3 business days.</t>
        </is>
      </c>
      <c r="AD71" s="2" t="inlineStr">
        <is>
          <t>Supports the customer support automation idea: Manual service request follow-up (email if no response in 3 business days)</t>
        </is>
      </c>
      <c r="AE71" s="2" t="inlineStr">
        <is>
          <t>I noticed your service page tells customers to email service@solarenergyworld.com if a technician hasn't contacted them within 3 business days.</t>
        </is>
      </c>
      <c r="AF71" s="2" t="inlineStr">
        <is>
          <t>A support workflow idea for Solar Energy World</t>
        </is>
      </c>
      <c r="AG71" s="2" t="inlineStr">
        <is>
          <t>Hi Solar Energy World team,
I noticed your service page tells customers to email service@solarenergyworld.com if a technician hasn't contacted them within 3 business days.
I work with businesses on AI and workflow automation. For a solar company like Solar Energy World,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71" s="2" t="inlineStr">
        <is>
          <t>https://www.solarenergyworld.com/service-request/</t>
        </is>
      </c>
      <c r="AI71" s="2" t="inlineStr">
        <is>
          <t>Service request page lists service@ email; Yelp shows Laurel MD office; serves multiple East Coast states; Comcast Energy Services acquisition noted in summary.</t>
        </is>
      </c>
      <c r="AJ71" s="2" t="inlineStr">
        <is>
          <t>Company website (service request page)</t>
        </is>
      </c>
      <c r="AK71" s="2" t="inlineStr">
        <is>
          <t>High</t>
        </is>
      </c>
      <c r="AL71" s="2" t="inlineStr">
        <is>
          <t>Ready</t>
        </is>
      </c>
      <c r="AM71" s="2" t="inlineStr">
        <is>
          <t>Not Sent</t>
        </is>
      </c>
      <c r="AN71" s="2" t="n"/>
      <c r="AO71" s="2" t="inlineStr">
        <is>
          <t>Batch 1 | Acquired by Comcast (Energy Services division) per search summary.</t>
        </is>
      </c>
    </row>
    <row r="72">
      <c r="A72" s="2" t="inlineStr"/>
      <c r="B72" s="2" t="inlineStr">
        <is>
          <t>TerraSol Energies</t>
        </is>
      </c>
      <c r="C72" s="2" t="inlineStr"/>
      <c r="D72" s="2" t="inlineStr"/>
      <c r="E72" s="2" t="inlineStr">
        <is>
          <t>info@terrasolenergies.com</t>
        </is>
      </c>
      <c r="F72" s="2" t="inlineStr">
        <is>
          <t>United States</t>
        </is>
      </c>
      <c r="G72" s="2" t="inlineStr">
        <is>
          <t>Pennsylvania</t>
        </is>
      </c>
      <c r="H72" s="2" t="inlineStr">
        <is>
          <t>Chadds Ford</t>
        </is>
      </c>
      <c r="I72" s="2" t="inlineStr">
        <is>
          <t>https://terrasolenergies.com/</t>
        </is>
      </c>
      <c r="J72" s="2" t="inlineStr">
        <is>
          <t>Residential &amp; commercial solar installer</t>
        </is>
      </c>
      <c r="K72" s="2" t="inlineStr">
        <is>
          <t>Solar PV, energy storage</t>
        </is>
      </c>
      <c r="L72" s="2" t="inlineStr">
        <is>
          <t>Residential &amp; Commercial</t>
        </is>
      </c>
      <c r="M72" s="2" t="inlineStr">
        <is>
          <t>Unknown</t>
        </is>
      </c>
      <c r="N72" s="2" t="inlineStr">
        <is>
          <t>PA, NJ, DE, MD</t>
        </is>
      </c>
      <c r="O72" s="2" t="inlineStr">
        <is>
          <t>1 (Chadds Ford, PA)</t>
        </is>
      </c>
      <c r="P72" s="2" t="inlineStr">
        <is>
          <t>Unknown</t>
        </is>
      </c>
      <c r="Q72" s="2" t="inlineStr">
        <is>
          <t>Unknown</t>
        </is>
      </c>
      <c r="R72" s="2" t="inlineStr">
        <is>
          <t>Unknown</t>
        </is>
      </c>
      <c r="S72" s="2" t="inlineStr">
        <is>
          <t>Unknown</t>
        </is>
      </c>
      <c r="T72" s="2" t="inlineStr">
        <is>
          <t>Unknown</t>
        </is>
      </c>
      <c r="U72" s="2" t="inlineStr">
        <is>
          <t>Phone + email</t>
        </is>
      </c>
      <c r="V72" s="2" t="inlineStr">
        <is>
          <t>Website; phone; Facebook</t>
        </is>
      </c>
      <c r="W72" s="2" t="inlineStr">
        <is>
          <t>None found</t>
        </is>
      </c>
      <c r="X72" s="2" t="inlineStr">
        <is>
          <t>Multi-state service area; commercial storage project (Sycamore International)</t>
        </is>
      </c>
      <c r="Y72" s="2" t="inlineStr">
        <is>
          <t>None found</t>
        </is>
      </c>
      <c r="Z72" s="2" t="inlineStr">
        <is>
          <t>Contact page with email and phone</t>
        </is>
      </c>
      <c r="AA72" s="2" t="inlineStr">
        <is>
          <t>Quote request automation</t>
        </is>
      </c>
      <c r="AB72" s="2" t="inlineStr">
        <is>
          <t>Medium</t>
        </is>
      </c>
      <c r="AC72" s="2" t="inlineStr">
        <is>
          <t>You describe yourselves as a tri-state solar company serving PA, NJ and DE since 2009.</t>
        </is>
      </c>
      <c r="AD72" s="2" t="inlineStr">
        <is>
          <t>Supports the quote request automation idea: Contact page with email and phone</t>
        </is>
      </c>
      <c r="AE72" s="2" t="inlineStr">
        <is>
          <t>I was looking at your website and saw that you describe yourselves as a tri-state solar company serving PA, NJ and DE since 2009.</t>
        </is>
      </c>
      <c r="AF72" s="2" t="inlineStr">
        <is>
          <t>A solar quote workflow idea</t>
        </is>
      </c>
      <c r="AG72" s="2" t="inlineStr">
        <is>
          <t>Hi TerraSol Energies team,
I was looking at your website and saw that you describe yourselves as a tri-state solar company serving PA, NJ and DE since 2009.
I work with businesses on AI and workflow automation. For a solar company like TerraSol Energies,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72" s="2" t="inlineStr">
        <is>
          <t>https://terrasolenergies.com/contact-us/</t>
        </is>
      </c>
      <c r="AI72" s="2" t="inlineStr">
        <is>
          <t>Contact page lists info@; about page 'Tri-State Solar Company'; NABCEP certified staff; ESS storage project.</t>
        </is>
      </c>
      <c r="AJ72" s="2" t="inlineStr">
        <is>
          <t>Company website (contact page)</t>
        </is>
      </c>
      <c r="AK72" s="2" t="inlineStr">
        <is>
          <t>High</t>
        </is>
      </c>
      <c r="AL72" s="2" t="inlineStr">
        <is>
          <t>Ready</t>
        </is>
      </c>
      <c r="AM72" s="2" t="inlineStr">
        <is>
          <t>Not Sent</t>
        </is>
      </c>
      <c r="AN72" s="2" t="n"/>
      <c r="AO72" s="2" t="inlineStr">
        <is>
          <t>Batch 1</t>
        </is>
      </c>
    </row>
    <row r="73">
      <c r="A73" s="2" t="inlineStr"/>
      <c r="B73" s="2" t="inlineStr">
        <is>
          <t>Knollwood Energy</t>
        </is>
      </c>
      <c r="C73" s="2" t="inlineStr"/>
      <c r="D73" s="2" t="inlineStr"/>
      <c r="E73" s="2" t="inlineStr">
        <is>
          <t>info@knollwoodenergy.com</t>
        </is>
      </c>
      <c r="F73" s="2" t="inlineStr">
        <is>
          <t>United States</t>
        </is>
      </c>
      <c r="G73" s="2" t="inlineStr">
        <is>
          <t>New Jersey</t>
        </is>
      </c>
      <c r="H73" s="2" t="inlineStr">
        <is>
          <t>Chester</t>
        </is>
      </c>
      <c r="I73" s="2" t="inlineStr">
        <is>
          <t>https://www.knollwoodenergy.com/</t>
        </is>
      </c>
      <c r="J73" s="2" t="inlineStr">
        <is>
          <t>Solar financing (SREC aggregator)</t>
        </is>
      </c>
      <c r="K73" s="2" t="inlineStr">
        <is>
          <t>SREC aggregation and sales for solar owners; solar maintenance provider listings</t>
        </is>
      </c>
      <c r="L73" s="2" t="inlineStr">
        <is>
          <t>Residential &amp; Commercial solar owners</t>
        </is>
      </c>
      <c r="M73" s="2" t="inlineStr">
        <is>
          <t>Unknown</t>
        </is>
      </c>
      <c r="N73" s="2" t="inlineStr">
        <is>
          <t>Northeast / US</t>
        </is>
      </c>
      <c r="O73" s="2" t="inlineStr">
        <is>
          <t>1 (Chester, NJ)</t>
        </is>
      </c>
      <c r="P73" s="2" t="inlineStr">
        <is>
          <t>Unknown</t>
        </is>
      </c>
      <c r="Q73" s="2" t="inlineStr">
        <is>
          <t>Unknown</t>
        </is>
      </c>
      <c r="R73" s="2" t="inlineStr">
        <is>
          <t>Unknown</t>
        </is>
      </c>
      <c r="S73" s="2" t="inlineStr">
        <is>
          <t>Unknown</t>
        </is>
      </c>
      <c r="T73" s="2" t="inlineStr">
        <is>
          <t>Unknown</t>
        </is>
      </c>
      <c r="U73" s="2" t="inlineStr">
        <is>
          <t>Customer portal + phone + email</t>
        </is>
      </c>
      <c r="V73" s="2" t="inlineStr">
        <is>
          <t>Website; testimonials</t>
        </is>
      </c>
      <c r="W73" s="2" t="inlineStr">
        <is>
          <t>None found</t>
        </is>
      </c>
      <c r="X73" s="2" t="inlineStr">
        <is>
          <t>Described as one of the largest SREC aggregators in the Northeast</t>
        </is>
      </c>
      <c r="Y73" s="2" t="inlineStr">
        <is>
          <t>None found</t>
        </is>
      </c>
      <c r="Z73" s="2" t="inlineStr">
        <is>
          <t>Customer login portal; contact page</t>
        </is>
      </c>
      <c r="AA73" s="2" t="inlineStr">
        <is>
          <t>Customer onboarding</t>
        </is>
      </c>
      <c r="AB73" s="2" t="inlineStr">
        <is>
          <t>Low</t>
        </is>
      </c>
      <c r="AC73" s="2" t="inlineStr">
        <is>
          <t>You have helped solar owners sell SRECs since 2006 through your customer portal.</t>
        </is>
      </c>
      <c r="AD73" s="2" t="inlineStr">
        <is>
          <t>Supports the customer onboarding idea: Customer login portal; contact page</t>
        </is>
      </c>
      <c r="AE73" s="2" t="inlineStr">
        <is>
          <t>I came across Knollwood Energy and noticed you have helped solar owners sell SRECs since 2006 through your customer portal.</t>
        </is>
      </c>
      <c r="AF73" s="2" t="inlineStr">
        <is>
          <t>An onboarding idea for Knollwood Energy</t>
        </is>
      </c>
      <c r="AG73" s="2" t="inlineStr">
        <is>
          <t>Hi Knollwood Energy team,
I came across Knollwood Energy and noticed you have helped solar owners sell SRECs since 2006 through your customer portal.
I work with businesses on AI and workflow automation. For a solar company like Knollwood Energy, once a customer signs, a workflow could collect documents, send next steps for permits, grid or DNO applications and install dates, and keep them updated.
Fewer status calls and a smoother handover from sales to install.
Would it be useful if I showed you how this could work with your current setup?
Best,
[Sender Name]
AI Automation Specialist</t>
        </is>
      </c>
      <c r="AH73" s="2" t="inlineStr">
        <is>
          <t>https://knollwoodenergy.com/contact/</t>
        </is>
      </c>
      <c r="AI73" s="2" t="inlineStr">
        <is>
          <t>Contact page; customer portal (login.cfm); SREC pricing page; in business since 2006.</t>
        </is>
      </c>
      <c r="AJ73" s="2" t="inlineStr">
        <is>
          <t>Company website (contact page)</t>
        </is>
      </c>
      <c r="AK73" s="2" t="inlineStr">
        <is>
          <t>Medium</t>
        </is>
      </c>
      <c r="AL73" s="2" t="inlineStr">
        <is>
          <t>Ready</t>
        </is>
      </c>
      <c r="AM73" s="2" t="inlineStr">
        <is>
          <t>Not Sent</t>
        </is>
      </c>
      <c r="AN73" s="2" t="n"/>
      <c r="AO73" s="2" t="inlineStr">
        <is>
          <t>Batch 1 | Not an installer; SREC services for solar system owners.</t>
        </is>
      </c>
    </row>
    <row r="74">
      <c r="A74" s="2" t="inlineStr"/>
      <c r="B74" s="2" t="inlineStr">
        <is>
          <t>Paradise Energy Solutions</t>
        </is>
      </c>
      <c r="C74" s="2" t="inlineStr"/>
      <c r="D74" s="2" t="inlineStr"/>
      <c r="E74" s="2" t="inlineStr">
        <is>
          <t>marketing@paradiseenergysolutions.com</t>
        </is>
      </c>
      <c r="F74" s="2" t="inlineStr">
        <is>
          <t>United States</t>
        </is>
      </c>
      <c r="G74" s="2" t="inlineStr">
        <is>
          <t>Pennsylvania</t>
        </is>
      </c>
      <c r="H74" s="2" t="inlineStr">
        <is>
          <t>Paradise</t>
        </is>
      </c>
      <c r="I74" s="2" t="inlineStr">
        <is>
          <t>https://www.paradisesolarenergy.com/</t>
        </is>
      </c>
      <c r="J74" s="2" t="inlineStr">
        <is>
          <t>Residential &amp; commercial solar installer</t>
        </is>
      </c>
      <c r="K74" s="2" t="inlineStr">
        <is>
          <t>Solar PV installation for homes, businesses and farms</t>
        </is>
      </c>
      <c r="L74" s="2" t="inlineStr">
        <is>
          <t>Residential, Commercial &amp; Agricultural</t>
        </is>
      </c>
      <c r="M74" s="2" t="inlineStr">
        <is>
          <t>Unknown</t>
        </is>
      </c>
      <c r="N74" s="2" t="inlineStr">
        <is>
          <t>Mid-Atlantic</t>
        </is>
      </c>
      <c r="O74" s="2" t="inlineStr">
        <is>
          <t>HQ: 3105 Lincoln Highway East, Paradise, PA</t>
        </is>
      </c>
      <c r="P74" s="2" t="inlineStr">
        <is>
          <t>Unknown</t>
        </is>
      </c>
      <c r="Q74" s="2" t="inlineStr">
        <is>
          <t>Unknown</t>
        </is>
      </c>
      <c r="R74" s="2" t="inlineStr">
        <is>
          <t>Unknown</t>
        </is>
      </c>
      <c r="S74" s="2" t="inlineStr">
        <is>
          <t>Unknown</t>
        </is>
      </c>
      <c r="T74" s="2" t="inlineStr">
        <is>
          <t>Unknown</t>
        </is>
      </c>
      <c r="U74" s="2" t="inlineStr">
        <is>
          <t>Phone + email</t>
        </is>
      </c>
      <c r="V74" s="2" t="inlineStr">
        <is>
          <t>Website; phone; Facebook</t>
        </is>
      </c>
      <c r="W74" s="2" t="inlineStr">
        <is>
          <t>Director of Sales &amp; Marketing role listed (ZoomInfo)</t>
        </is>
      </c>
      <c r="X74" s="2" t="inlineStr">
        <is>
          <t>Serves multiple states in Mid-Atlantic; marketing team of several people</t>
        </is>
      </c>
      <c r="Y74" s="2" t="inlineStr">
        <is>
          <t>None found</t>
        </is>
      </c>
      <c r="Z74" s="2" t="inlineStr">
        <is>
          <t>Contact page with phone and marketing email for inquiries</t>
        </is>
      </c>
      <c r="AA74" s="2" t="inlineStr">
        <is>
          <t>Lead qualification chatbot</t>
        </is>
      </c>
      <c r="AB74" s="2" t="inlineStr">
        <is>
          <t>Medium</t>
        </is>
      </c>
      <c r="AC74" s="2" t="inlineStr">
        <is>
          <t>You install solar for farms and businesses as well as homeowners across the Mid-Atlantic.</t>
        </is>
      </c>
      <c r="AD74" s="2" t="inlineStr">
        <is>
          <t>Supports the lead qualification chatbot idea: Contact page with phone and marketing email for inquiries</t>
        </is>
      </c>
      <c r="AE74" s="2" t="inlineStr">
        <is>
          <t>I noticed you install solar for farms and businesses as well as homeowners across the Mid-Atlantic.</t>
        </is>
      </c>
      <c r="AF74" s="2" t="inlineStr">
        <is>
          <t>Qualifying solar enquiries at Paradise Energy Solutions</t>
        </is>
      </c>
      <c r="AG74" s="2" t="inlineStr">
        <is>
          <t>Hi Paradise Energy Solutions team,
I noticed you install solar for farms and businesses as well as homeowners across the Mid-Atlantic.
I work with businesses on AI and workflow automation. For a solar company like Paradise Energy Solutions,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74" s="2" t="inlineStr">
        <is>
          <t>https://www.paradisesolarenergy.com/contact-us/</t>
        </is>
      </c>
      <c r="AI74" s="2" t="inlineStr">
        <is>
          <t>Contact page; address Paradise PA; serves businesses, farms and homeowners in Mid-Atlantic; marketing team on ZoomInfo.</t>
        </is>
      </c>
      <c r="AJ74" s="2" t="inlineStr">
        <is>
          <t>Company website (contact page)</t>
        </is>
      </c>
      <c r="AK74" s="2" t="inlineStr">
        <is>
          <t>Medium</t>
        </is>
      </c>
      <c r="AL74" s="2" t="inlineStr">
        <is>
          <t>Review</t>
        </is>
      </c>
      <c r="AM74" s="2" t="inlineStr">
        <is>
          <t>Not Sent</t>
        </is>
      </c>
      <c r="AN74" s="2" t="n"/>
      <c r="AO74" s="2" t="inlineStr">
        <is>
          <t>Batch 1 | Email is on paradiseenergysolutions.com (alternate company domain); only seen in search summary, exact-match search showed only ZoomInfo staff on that domain. | Email seen in search results but not independently corroborated; verify on website before sending.</t>
        </is>
      </c>
    </row>
    <row r="75">
      <c r="A75" s="2" t="inlineStr"/>
      <c r="B75" s="2" t="inlineStr">
        <is>
          <t>Southeast Energy Solutions</t>
        </is>
      </c>
      <c r="C75" s="2" t="inlineStr"/>
      <c r="D75" s="2" t="inlineStr"/>
      <c r="E75" s="2" t="inlineStr">
        <is>
          <t>Info@sesolarsolutions.com</t>
        </is>
      </c>
      <c r="F75" s="2" t="inlineStr">
        <is>
          <t>United States</t>
        </is>
      </c>
      <c r="G75" s="2" t="inlineStr">
        <is>
          <t>Georgia</t>
        </is>
      </c>
      <c r="H75" s="2" t="inlineStr">
        <is>
          <t>Athens</t>
        </is>
      </c>
      <c r="I75" s="2" t="inlineStr">
        <is>
          <t>https://www.sesolarsolutions.com/</t>
        </is>
      </c>
      <c r="J75" s="2" t="inlineStr">
        <is>
          <t>Residential &amp; commercial solar installer</t>
        </is>
      </c>
      <c r="K75" s="2" t="inlineStr">
        <is>
          <t>Solar PV</t>
        </is>
      </c>
      <c r="L75" s="2" t="inlineStr">
        <is>
          <t>Residential &amp; Commercial</t>
        </is>
      </c>
      <c r="M75" s="2" t="inlineStr">
        <is>
          <t>Unknown</t>
        </is>
      </c>
      <c r="N75" s="2" t="inlineStr">
        <is>
          <t>Southeastern United States</t>
        </is>
      </c>
      <c r="O75" s="2" t="inlineStr">
        <is>
          <t>1 (855 Sunset Dr, Athens, GA)</t>
        </is>
      </c>
      <c r="P75" s="2" t="inlineStr">
        <is>
          <t>Unknown</t>
        </is>
      </c>
      <c r="Q75" s="2" t="inlineStr">
        <is>
          <t>Unknown</t>
        </is>
      </c>
      <c r="R75" s="2" t="inlineStr">
        <is>
          <t>Unknown</t>
        </is>
      </c>
      <c r="S75" s="2" t="inlineStr">
        <is>
          <t>Unknown</t>
        </is>
      </c>
      <c r="T75" s="2" t="inlineStr">
        <is>
          <t>Unknown</t>
        </is>
      </c>
      <c r="U75" s="2" t="inlineStr">
        <is>
          <t>Phone + email</t>
        </is>
      </c>
      <c r="V75" s="2" t="inlineStr">
        <is>
          <t>Website</t>
        </is>
      </c>
      <c r="W75" s="2" t="inlineStr">
        <is>
          <t>None found</t>
        </is>
      </c>
      <c r="X75" s="2" t="inlineStr">
        <is>
          <t>None found</t>
        </is>
      </c>
      <c r="Y75" s="2" t="inlineStr">
        <is>
          <t>None found</t>
        </is>
      </c>
      <c r="Z75" s="2" t="inlineStr">
        <is>
          <t>Website contact</t>
        </is>
      </c>
      <c r="AA75" s="2" t="inlineStr">
        <is>
          <t>Lead qualification chatbot</t>
        </is>
      </c>
      <c r="AB75" s="2" t="inlineStr">
        <is>
          <t>Low</t>
        </is>
      </c>
      <c r="AC75" s="2" t="inlineStr">
        <is>
          <t>You provide residential and commercial solar across the Southeastern US from Athens, Georgia.</t>
        </is>
      </c>
      <c r="AD75" s="2" t="inlineStr">
        <is>
          <t>Supports the lead qualification chatbot idea: Website contact</t>
        </is>
      </c>
      <c r="AE75" s="2" t="inlineStr">
        <is>
          <t>I was looking at your website and saw that you provide residential and commercial solar across the Southeastern US from Athens, Georgia.</t>
        </is>
      </c>
      <c r="AF75" s="2" t="inlineStr">
        <is>
          <t>A lead qualification idea for Southeast Energy Solutions</t>
        </is>
      </c>
      <c r="AG75" s="2" t="inlineStr">
        <is>
          <t>Hi Southeast Energy Solutions team,
I was looking at your website and saw that you provide residential and commercial solar across the Southeastern US from Athens, Georgia.
I work with businesses on AI and workflow automation. For a solar company like Southeast Energy Solutions,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75" s="2" t="inlineStr">
        <is>
          <t>https://www.sesolarsolutions.com/</t>
        </is>
      </c>
      <c r="AI75" s="2" t="inlineStr">
        <is>
          <t>Homepage title 'Solar Panels Southeast | Residential &amp; Commercial Solar Installation'; email and address from search summary.</t>
        </is>
      </c>
      <c r="AJ75" s="2" t="inlineStr">
        <is>
          <t>Company website (homepage)</t>
        </is>
      </c>
      <c r="AK75" s="2" t="inlineStr">
        <is>
          <t>Medium</t>
        </is>
      </c>
      <c r="AL75" s="2" t="inlineStr">
        <is>
          <t>Review</t>
        </is>
      </c>
      <c r="AM75" s="2" t="inlineStr">
        <is>
          <t>Not Sent</t>
        </is>
      </c>
      <c r="AN75" s="2" t="n"/>
      <c r="AO75" s="2" t="inlineStr">
        <is>
          <t>Batch 1 | Email not corroborated by exact-match search (budget exhausted). | Email seen in search results but not independently corroborated; verify on website before sending.</t>
        </is>
      </c>
    </row>
    <row r="76">
      <c r="A76" s="2" t="inlineStr"/>
      <c r="B76" s="2" t="inlineStr">
        <is>
          <t>SC.solar (South Carolina Solar)</t>
        </is>
      </c>
      <c r="C76" s="2" t="inlineStr"/>
      <c r="D76" s="2" t="inlineStr"/>
      <c r="E76" s="2" t="inlineStr">
        <is>
          <t>info@sc.solar</t>
        </is>
      </c>
      <c r="F76" s="2" t="inlineStr">
        <is>
          <t>United States</t>
        </is>
      </c>
      <c r="G76" s="2" t="inlineStr">
        <is>
          <t>South Carolina</t>
        </is>
      </c>
      <c r="H76" s="2" t="inlineStr"/>
      <c r="I76" s="2" t="inlineStr">
        <is>
          <t>https://sc.solar/</t>
        </is>
      </c>
      <c r="J76" s="2" t="inlineStr">
        <is>
          <t>Residential solar installer</t>
        </is>
      </c>
      <c r="K76" s="2" t="inlineStr">
        <is>
          <t>Solar PV</t>
        </is>
      </c>
      <c r="L76" s="2" t="inlineStr">
        <is>
          <t>Residential</t>
        </is>
      </c>
      <c r="M76" s="2" t="inlineStr">
        <is>
          <t>Unknown</t>
        </is>
      </c>
      <c r="N76" s="2" t="inlineStr">
        <is>
          <t>South Carolina</t>
        </is>
      </c>
      <c r="O76" s="2" t="inlineStr">
        <is>
          <t>Unknown</t>
        </is>
      </c>
      <c r="P76" s="2" t="inlineStr">
        <is>
          <t>Unknown</t>
        </is>
      </c>
      <c r="Q76" s="2" t="inlineStr">
        <is>
          <t>Unknown</t>
        </is>
      </c>
      <c r="R76" s="2" t="inlineStr">
        <is>
          <t>Unknown</t>
        </is>
      </c>
      <c r="S76" s="2" t="inlineStr">
        <is>
          <t>Unknown</t>
        </is>
      </c>
      <c r="T76" s="2" t="inlineStr">
        <is>
          <t>Unknown</t>
        </is>
      </c>
      <c r="U76" s="2" t="inlineStr">
        <is>
          <t>Phone + email</t>
        </is>
      </c>
      <c r="V76" s="2" t="inlineStr">
        <is>
          <t>Website; toll-free phone</t>
        </is>
      </c>
      <c r="W76" s="2" t="inlineStr">
        <is>
          <t>None found</t>
        </is>
      </c>
      <c r="X76" s="2" t="inlineStr">
        <is>
          <t>None found</t>
        </is>
      </c>
      <c r="Y76" s="2" t="inlineStr">
        <is>
          <t>None found</t>
        </is>
      </c>
      <c r="Z76" s="2" t="inlineStr">
        <is>
          <t>Homepage promo ('Save 55% by acting now') + phone</t>
        </is>
      </c>
      <c r="AA76" s="2" t="inlineStr">
        <is>
          <t>Lead qualification chatbot</t>
        </is>
      </c>
      <c r="AB76" s="2" t="inlineStr">
        <is>
          <t>Medium</t>
        </is>
      </c>
      <c r="AC76" s="2" t="inlineStr">
        <is>
          <t>Your homepage urges South Carolina homeowners to 'Save 55% by acting now'.</t>
        </is>
      </c>
      <c r="AD76" s="2" t="inlineStr">
        <is>
          <t>Supports the lead qualification chatbot idea: Homepage promo ('Save 55% by acting now') + phone</t>
        </is>
      </c>
      <c r="AE76" s="2" t="inlineStr">
        <is>
          <t>I came across SC.solar (South Carolina Solar) and noticed your homepage urges South Carolina homeowners to 'Save 55% by acting now'.</t>
        </is>
      </c>
      <c r="AF76" s="2" t="inlineStr">
        <is>
          <t>A solar lead follow up idea</t>
        </is>
      </c>
      <c r="AG76" s="2" t="inlineStr">
        <is>
          <t>Hi SC.solar (South Carolina Solar) team,
I came across SC.solar (South Carolina Solar) and noticed your homepage urges South Carolina homeowners to 'Save 55% by acting now'.
I work with businesses on AI and workflow automation. For a solar company like SC.solar (South Carolina Solar),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76" s="2" t="inlineStr">
        <is>
          <t>https://sc.solar/</t>
        </is>
      </c>
      <c r="AI76" s="2" t="inlineStr">
        <is>
          <t>Homepage title describes locally owned SC solar contractor; email/toll-free number from summary.</t>
        </is>
      </c>
      <c r="AJ76" s="2" t="inlineStr">
        <is>
          <t>Company website (homepage)</t>
        </is>
      </c>
      <c r="AK76" s="2" t="inlineStr">
        <is>
          <t>Medium</t>
        </is>
      </c>
      <c r="AL76" s="2" t="inlineStr">
        <is>
          <t>Review</t>
        </is>
      </c>
      <c r="AM76" s="2" t="inlineStr">
        <is>
          <t>Not Sent</t>
        </is>
      </c>
      <c r="AN76" s="2" t="n"/>
      <c r="AO76" s="2" t="inlineStr">
        <is>
          <t>Batch 1 | Email not corroborated by exact-match search. | Email seen in search results but not independently corroborated; verify on website before sending.</t>
        </is>
      </c>
    </row>
    <row r="77">
      <c r="A77" s="2" t="inlineStr"/>
      <c r="B77" s="2" t="inlineStr">
        <is>
          <t>Sunergy Solutions</t>
        </is>
      </c>
      <c r="C77" s="2" t="inlineStr"/>
      <c r="D77" s="2" t="inlineStr"/>
      <c r="E77" s="2" t="inlineStr"/>
      <c r="F77" s="2" t="inlineStr">
        <is>
          <t>United States</t>
        </is>
      </c>
      <c r="G77" s="2" t="inlineStr"/>
      <c r="H77" s="2" t="inlineStr"/>
      <c r="I77" s="2" t="inlineStr">
        <is>
          <t>https://sunergysolutionsllc.com/</t>
        </is>
      </c>
      <c r="J77" s="2" t="inlineStr">
        <is>
          <t>Roofing + solar contractor</t>
        </is>
      </c>
      <c r="K77" s="2" t="inlineStr">
        <is>
          <t>Solar PV, roofing, gutters</t>
        </is>
      </c>
      <c r="L77" s="2" t="inlineStr">
        <is>
          <t>Residential &amp; Commercial</t>
        </is>
      </c>
      <c r="M77" s="2" t="inlineStr">
        <is>
          <t>Unknown</t>
        </is>
      </c>
      <c r="N77" s="2" t="inlineStr">
        <is>
          <t>CT, MA, ME, NH, RI, VT, VA</t>
        </is>
      </c>
      <c r="O77" s="2" t="inlineStr">
        <is>
          <t>Unknown</t>
        </is>
      </c>
      <c r="P77" s="2" t="inlineStr">
        <is>
          <t>Unknown</t>
        </is>
      </c>
      <c r="Q77" s="2" t="inlineStr">
        <is>
          <t>Unknown</t>
        </is>
      </c>
      <c r="R77" s="2" t="inlineStr">
        <is>
          <t>Unknown</t>
        </is>
      </c>
      <c r="S77" s="2" t="inlineStr">
        <is>
          <t>Unknown</t>
        </is>
      </c>
      <c r="T77" s="2" t="inlineStr">
        <is>
          <t>Unknown</t>
        </is>
      </c>
      <c r="U77" s="2" t="inlineStr">
        <is>
          <t>Unknown</t>
        </is>
      </c>
      <c r="V77" s="2" t="inlineStr">
        <is>
          <t>Website; toll-free phone</t>
        </is>
      </c>
      <c r="W77" s="2" t="inlineStr">
        <is>
          <t>None found</t>
        </is>
      </c>
      <c r="X77" s="2" t="inlineStr">
        <is>
          <t>Serves 7 states</t>
        </is>
      </c>
      <c r="Y77" s="2" t="inlineStr">
        <is>
          <t>None found</t>
        </is>
      </c>
      <c r="Z77" s="2" t="inlineStr">
        <is>
          <t>Website contact/phone</t>
        </is>
      </c>
      <c r="AA77" s="2" t="inlineStr">
        <is>
          <t>Lead routing</t>
        </is>
      </c>
      <c r="AB77" s="2" t="inlineStr">
        <is>
          <t>Medium</t>
        </is>
      </c>
      <c r="AC77" s="2" t="inlineStr">
        <is>
          <t>You offer solar, roofing and gutters across New England and Virginia.</t>
        </is>
      </c>
      <c r="AD77" s="2" t="inlineStr">
        <is>
          <t>Supports the lead routing idea: Website contact/phone</t>
        </is>
      </c>
      <c r="AE77" s="2" t="inlineStr">
        <is>
          <t>I noticed you offer solar, roofing and gutters across New England and Virginia.</t>
        </is>
      </c>
      <c r="AF77" s="2" t="inlineStr">
        <is>
          <t>A lead routing idea for Sunergy Solutions</t>
        </is>
      </c>
      <c r="AG77" s="2" t="inlineStr">
        <is>
          <t>Hi Sunergy Solutions team,
I noticed you offer solar, roofing and gutters across New England and Virginia.
I work with businesses on AI and workflow automation. For a solar company like Sunergy Solutions,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77" s="2" t="inlineStr">
        <is>
          <t>https://sunergysolutionsllc.com/</t>
        </is>
      </c>
      <c r="AI77" s="2" t="inlineStr">
        <is>
          <t>Homepage: residential &amp; commercial solar and roofing; serves New England states and Virginia; phone 844-42-SOLAR.</t>
        </is>
      </c>
      <c r="AJ77" s="2" t="inlineStr">
        <is>
          <t>Company website</t>
        </is>
      </c>
      <c r="AK77" s="2" t="inlineStr">
        <is>
          <t>Medium</t>
        </is>
      </c>
      <c r="AL77" s="2" t="inlineStr">
        <is>
          <t>Reject</t>
        </is>
      </c>
      <c r="AM77" s="2" t="inlineStr">
        <is>
          <t>Not Sent</t>
        </is>
      </c>
      <c r="AN77" s="2" t="n"/>
      <c r="AO77" s="2" t="inlineStr">
        <is>
          <t>Batch 1 | No email found in searches. | No publicly verified business email found.</t>
        </is>
      </c>
    </row>
    <row r="78">
      <c r="A78" s="2" t="inlineStr"/>
      <c r="B78" s="2" t="inlineStr">
        <is>
          <t>Elite Roof and Solar</t>
        </is>
      </c>
      <c r="C78" s="2" t="inlineStr"/>
      <c r="D78" s="2" t="inlineStr"/>
      <c r="E78" s="2" t="inlineStr"/>
      <c r="F78" s="2" t="inlineStr">
        <is>
          <t>United States</t>
        </is>
      </c>
      <c r="G78" s="2" t="inlineStr">
        <is>
          <t>North Carolina</t>
        </is>
      </c>
      <c r="H78" s="2" t="inlineStr"/>
      <c r="I78" s="2" t="inlineStr">
        <is>
          <t>https://eliteroofandsolar.com/</t>
        </is>
      </c>
      <c r="J78" s="2" t="inlineStr">
        <is>
          <t>Roofing + solar contractor</t>
        </is>
      </c>
      <c r="K78" s="2" t="inlineStr">
        <is>
          <t>Roofing, solar</t>
        </is>
      </c>
      <c r="L78" s="2" t="inlineStr">
        <is>
          <t>Residential</t>
        </is>
      </c>
      <c r="M78" s="2" t="inlineStr">
        <is>
          <t>Unknown</t>
        </is>
      </c>
      <c r="N78" s="2" t="inlineStr">
        <is>
          <t>North Carolina and South Carolina</t>
        </is>
      </c>
      <c r="O78" s="2" t="inlineStr">
        <is>
          <t>Unknown</t>
        </is>
      </c>
      <c r="P78" s="2" t="inlineStr">
        <is>
          <t>Unknown</t>
        </is>
      </c>
      <c r="Q78" s="2" t="inlineStr">
        <is>
          <t>Unknown</t>
        </is>
      </c>
      <c r="R78" s="2" t="inlineStr">
        <is>
          <t>Unknown</t>
        </is>
      </c>
      <c r="S78" s="2" t="inlineStr">
        <is>
          <t>Unknown</t>
        </is>
      </c>
      <c r="T78" s="2" t="inlineStr">
        <is>
          <t>Unknown</t>
        </is>
      </c>
      <c r="U78" s="2" t="inlineStr">
        <is>
          <t>Unknown</t>
        </is>
      </c>
      <c r="V78" s="2" t="inlineStr">
        <is>
          <t>Website</t>
        </is>
      </c>
      <c r="W78" s="2" t="inlineStr">
        <is>
          <t>None found</t>
        </is>
      </c>
      <c r="X78" s="2" t="inlineStr">
        <is>
          <t>None found</t>
        </is>
      </c>
      <c r="Y78" s="2" t="inlineStr">
        <is>
          <t>None found</t>
        </is>
      </c>
      <c r="Z78" s="2" t="inlineStr">
        <is>
          <t>Website contact/phone</t>
        </is>
      </c>
      <c r="AA78" s="2" t="inlineStr">
        <is>
          <t>Quote request automation</t>
        </is>
      </c>
      <c r="AB78" s="2" t="inlineStr">
        <is>
          <t>Medium</t>
        </is>
      </c>
      <c r="AC78" s="2" t="inlineStr">
        <is>
          <t>You position yourselves as a solar roofing company serving both Carolinas.</t>
        </is>
      </c>
      <c r="AD78" s="2" t="inlineStr">
        <is>
          <t>Supports the quote request automation idea: Website contact/phone</t>
        </is>
      </c>
      <c r="AE78" s="2" t="inlineStr">
        <is>
          <t>I was looking at your website and saw that you position yourselves as a solar roofing company serving both Carolinas.</t>
        </is>
      </c>
      <c r="AF78" s="2" t="inlineStr">
        <is>
          <t>A solar quote workflow idea</t>
        </is>
      </c>
      <c r="AG78" s="2" t="inlineStr">
        <is>
          <t>Hi Elite Roof and Solar team,
I was looking at your website and saw that you position yourselves as a solar roofing company serving both Carolinas.
I work with businesses on AI and workflow automation. For a solar company like Elite Roof and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78" s="2" t="inlineStr">
        <is>
          <t>https://eliteroofandsolar.com/</t>
        </is>
      </c>
      <c r="AI78" s="2" t="inlineStr">
        <is>
          <t>Homepage title 'NC and SC Solar Roofing Company'.</t>
        </is>
      </c>
      <c r="AJ78" s="2" t="inlineStr">
        <is>
          <t>Company website</t>
        </is>
      </c>
      <c r="AK78" s="2" t="inlineStr">
        <is>
          <t>Medium</t>
        </is>
      </c>
      <c r="AL78" s="2" t="inlineStr">
        <is>
          <t>Reject</t>
        </is>
      </c>
      <c r="AM78" s="2" t="inlineStr">
        <is>
          <t>Not Sent</t>
        </is>
      </c>
      <c r="AN78" s="2" t="n"/>
      <c r="AO78" s="2" t="inlineStr">
        <is>
          <t>Batch 1 | No email found in searches. | No publicly verified business email found.</t>
        </is>
      </c>
    </row>
    <row r="79">
      <c r="A79" s="2" t="inlineStr"/>
      <c r="B79" s="2" t="inlineStr">
        <is>
          <t>August Roofing &amp; Solar</t>
        </is>
      </c>
      <c r="C79" s="2" t="inlineStr"/>
      <c r="D79" s="2" t="inlineStr"/>
      <c r="E79" s="2" t="inlineStr"/>
      <c r="F79" s="2" t="inlineStr">
        <is>
          <t>United States</t>
        </is>
      </c>
      <c r="G79" s="2" t="inlineStr">
        <is>
          <t>California</t>
        </is>
      </c>
      <c r="H79" s="2" t="inlineStr"/>
      <c r="I79" s="2" t="inlineStr">
        <is>
          <t>https://augustroofing.com/</t>
        </is>
      </c>
      <c r="J79" s="2" t="inlineStr">
        <is>
          <t>Roofing + solar contractor</t>
        </is>
      </c>
      <c r="K79" s="2" t="inlineStr">
        <is>
          <t>Roofing, solar</t>
        </is>
      </c>
      <c r="L79" s="2" t="inlineStr">
        <is>
          <t>Residential</t>
        </is>
      </c>
      <c r="M79" s="2" t="inlineStr">
        <is>
          <t>Unknown</t>
        </is>
      </c>
      <c r="N79" s="2" t="inlineStr">
        <is>
          <t>Southern California</t>
        </is>
      </c>
      <c r="O79" s="2" t="inlineStr">
        <is>
          <t>Unknown</t>
        </is>
      </c>
      <c r="P79" s="2" t="inlineStr">
        <is>
          <t>Unknown</t>
        </is>
      </c>
      <c r="Q79" s="2" t="inlineStr">
        <is>
          <t>Unknown</t>
        </is>
      </c>
      <c r="R79" s="2" t="inlineStr">
        <is>
          <t>Unknown</t>
        </is>
      </c>
      <c r="S79" s="2" t="inlineStr">
        <is>
          <t>Unknown</t>
        </is>
      </c>
      <c r="T79" s="2" t="inlineStr">
        <is>
          <t>Unknown</t>
        </is>
      </c>
      <c r="U79" s="2" t="inlineStr">
        <is>
          <t>Unknown</t>
        </is>
      </c>
      <c r="V79" s="2" t="inlineStr">
        <is>
          <t>Website</t>
        </is>
      </c>
      <c r="W79" s="2" t="inlineStr">
        <is>
          <t>None found</t>
        </is>
      </c>
      <c r="X79" s="2" t="inlineStr">
        <is>
          <t>None found</t>
        </is>
      </c>
      <c r="Y79" s="2" t="inlineStr">
        <is>
          <t>None found</t>
        </is>
      </c>
      <c r="Z79" s="2" t="inlineStr">
        <is>
          <t>Website contact/phone</t>
        </is>
      </c>
      <c r="AA79" s="2" t="inlineStr">
        <is>
          <t>Quote request automation</t>
        </is>
      </c>
      <c r="AB79" s="2" t="inlineStr">
        <is>
          <t>Low</t>
        </is>
      </c>
      <c r="AC79" s="2" t="inlineStr">
        <is>
          <t>You have been doing roofing and solar in Southern California since 1991.</t>
        </is>
      </c>
      <c r="AD79" s="2" t="inlineStr">
        <is>
          <t>Supports the quote request automation idea: Website contact/phone</t>
        </is>
      </c>
      <c r="AE79" s="2" t="inlineStr">
        <is>
          <t>I came across August Roofing &amp; Solar and noticed you have been doing roofing and solar in Southern California since 1991.</t>
        </is>
      </c>
      <c r="AF79" s="2" t="inlineStr">
        <is>
          <t>Quote requests at August Roofing &amp; Solar</t>
        </is>
      </c>
      <c r="AG79" s="2" t="inlineStr">
        <is>
          <t>Hi August Roofing &amp; Solar team,
I came across August Roofing &amp; Solar and noticed you have been doing roofing and solar in Southern California since 1991.
I work with businesses on AI and workflow automation. For a solar company like August Roofing &amp;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79" s="2" t="inlineStr">
        <is>
          <t>https://augustroofing.com/</t>
        </is>
      </c>
      <c r="AI79" s="2" t="inlineStr">
        <is>
          <t>Homepage title 'Southern California Roofing &amp; Solar Company'; operating since 1991 per summary.</t>
        </is>
      </c>
      <c r="AJ79" s="2" t="inlineStr">
        <is>
          <t>Company website</t>
        </is>
      </c>
      <c r="AK79" s="2" t="inlineStr">
        <is>
          <t>Medium</t>
        </is>
      </c>
      <c r="AL79" s="2" t="inlineStr">
        <is>
          <t>Reject</t>
        </is>
      </c>
      <c r="AM79" s="2" t="inlineStr">
        <is>
          <t>Not Sent</t>
        </is>
      </c>
      <c r="AN79" s="2" t="n"/>
      <c r="AO79" s="2" t="inlineStr">
        <is>
          <t>Batch 1 | No email found in searches. | No publicly verified business email found.</t>
        </is>
      </c>
    </row>
    <row r="80">
      <c r="A80" s="2" t="inlineStr"/>
      <c r="B80" s="2" t="inlineStr">
        <is>
          <t>EMT Solar &amp; Roofing</t>
        </is>
      </c>
      <c r="C80" s="2" t="inlineStr"/>
      <c r="D80" s="2" t="inlineStr"/>
      <c r="E80" s="2" t="inlineStr"/>
      <c r="F80" s="2" t="inlineStr">
        <is>
          <t>United States</t>
        </is>
      </c>
      <c r="G80" s="2" t="inlineStr">
        <is>
          <t>New Jersey</t>
        </is>
      </c>
      <c r="H80" s="2" t="inlineStr"/>
      <c r="I80" s="2" t="inlineStr">
        <is>
          <t>https://emtsolar.com/</t>
        </is>
      </c>
      <c r="J80" s="2" t="inlineStr">
        <is>
          <t>Roofing + solar contractor</t>
        </is>
      </c>
      <c r="K80" s="2" t="inlineStr">
        <is>
          <t>Solar PV, roofing, gutters, siding</t>
        </is>
      </c>
      <c r="L80" s="2" t="inlineStr">
        <is>
          <t>Residential</t>
        </is>
      </c>
      <c r="M80" s="2" t="inlineStr">
        <is>
          <t>Unknown</t>
        </is>
      </c>
      <c r="N80" s="2" t="inlineStr">
        <is>
          <t>New Jersey</t>
        </is>
      </c>
      <c r="O80" s="2" t="inlineStr">
        <is>
          <t>Unknown</t>
        </is>
      </c>
      <c r="P80" s="2" t="inlineStr">
        <is>
          <t>Unknown</t>
        </is>
      </c>
      <c r="Q80" s="2" t="inlineStr">
        <is>
          <t>Unknown</t>
        </is>
      </c>
      <c r="R80" s="2" t="inlineStr">
        <is>
          <t>Unknown</t>
        </is>
      </c>
      <c r="S80" s="2" t="inlineStr">
        <is>
          <t>Unknown</t>
        </is>
      </c>
      <c r="T80" s="2" t="inlineStr">
        <is>
          <t>Unknown</t>
        </is>
      </c>
      <c r="U80" s="2" t="inlineStr">
        <is>
          <t>Unknown</t>
        </is>
      </c>
      <c r="V80" s="2" t="inlineStr">
        <is>
          <t>Website</t>
        </is>
      </c>
      <c r="W80" s="2" t="inlineStr">
        <is>
          <t>None found</t>
        </is>
      </c>
      <c r="X80" s="2" t="inlineStr">
        <is>
          <t>None found</t>
        </is>
      </c>
      <c r="Y80" s="2" t="inlineStr">
        <is>
          <t>None found</t>
        </is>
      </c>
      <c r="Z80" s="2" t="inlineStr">
        <is>
          <t>Website contact/phone</t>
        </is>
      </c>
      <c r="AA80" s="2" t="inlineStr">
        <is>
          <t>Quote request automation</t>
        </is>
      </c>
      <c r="AB80" s="2" t="inlineStr">
        <is>
          <t>Low</t>
        </is>
      </c>
      <c r="AC80" s="2" t="inlineStr">
        <is>
          <t>You combine solar, roofing, gutters and siding for New Jersey homeowners.</t>
        </is>
      </c>
      <c r="AD80" s="2" t="inlineStr">
        <is>
          <t>Supports the quote request automation idea: Website contact/phone</t>
        </is>
      </c>
      <c r="AE80" s="2" t="inlineStr">
        <is>
          <t>I noticed you combine solar, roofing, gutters and siding for New Jersey homeowners.</t>
        </is>
      </c>
      <c r="AF80" s="2" t="inlineStr">
        <is>
          <t>A solar quote workflow idea</t>
        </is>
      </c>
      <c r="AG80" s="2" t="inlineStr">
        <is>
          <t>Hi EMT Solar &amp; Roofing team,
I noticed you combine solar, roofing, gutters and siding for New Jersey homeowners.
I work with businesses on AI and workflow automation. For a solar company like EMT Solar &amp; Roofing,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80" s="2" t="inlineStr">
        <is>
          <t>https://emtsolar.com/</t>
        </is>
      </c>
      <c r="AI80" s="2" t="inlineStr">
        <is>
          <t>Homepage title 'Solar &amp; Roofing Contractor NJ'; also gutters and siding.</t>
        </is>
      </c>
      <c r="AJ80" s="2" t="inlineStr">
        <is>
          <t>Company website</t>
        </is>
      </c>
      <c r="AK80" s="2" t="inlineStr">
        <is>
          <t>Medium</t>
        </is>
      </c>
      <c r="AL80" s="2" t="inlineStr">
        <is>
          <t>Reject</t>
        </is>
      </c>
      <c r="AM80" s="2" t="inlineStr">
        <is>
          <t>Not Sent</t>
        </is>
      </c>
      <c r="AN80" s="2" t="n"/>
      <c r="AO80" s="2" t="inlineStr">
        <is>
          <t>Batch 1 | No email found in searches. | No publicly verified business email found.</t>
        </is>
      </c>
    </row>
    <row r="81">
      <c r="A81" s="2" t="inlineStr"/>
      <c r="B81" s="2" t="inlineStr">
        <is>
          <t>Summit Solar &amp; Roofing</t>
        </is>
      </c>
      <c r="C81" s="2" t="inlineStr"/>
      <c r="D81" s="2" t="inlineStr"/>
      <c r="E81" s="2" t="inlineStr"/>
      <c r="F81" s="2" t="inlineStr">
        <is>
          <t>United States</t>
        </is>
      </c>
      <c r="G81" s="2" t="inlineStr"/>
      <c r="H81" s="2" t="inlineStr"/>
      <c r="I81" s="2" t="inlineStr">
        <is>
          <t>https://www.summitsolarandroofing.com/</t>
        </is>
      </c>
      <c r="J81" s="2" t="inlineStr">
        <is>
          <t>Roofing + solar contractor</t>
        </is>
      </c>
      <c r="K81" s="2" t="inlineStr">
        <is>
          <t>Solar PV, roofing</t>
        </is>
      </c>
      <c r="L81" s="2" t="inlineStr">
        <is>
          <t>Residential</t>
        </is>
      </c>
      <c r="M81" s="2" t="inlineStr">
        <is>
          <t>Unknown</t>
        </is>
      </c>
      <c r="N81" s="2" t="inlineStr">
        <is>
          <t>Colorado and California</t>
        </is>
      </c>
      <c r="O81" s="2" t="inlineStr">
        <is>
          <t>Unknown</t>
        </is>
      </c>
      <c r="P81" s="2" t="inlineStr">
        <is>
          <t>Unknown</t>
        </is>
      </c>
      <c r="Q81" s="2" t="inlineStr">
        <is>
          <t>Unknown</t>
        </is>
      </c>
      <c r="R81" s="2" t="inlineStr">
        <is>
          <t>Unknown</t>
        </is>
      </c>
      <c r="S81" s="2" t="inlineStr">
        <is>
          <t>Unknown</t>
        </is>
      </c>
      <c r="T81" s="2" t="inlineStr">
        <is>
          <t>Unknown</t>
        </is>
      </c>
      <c r="U81" s="2" t="inlineStr">
        <is>
          <t>Unknown</t>
        </is>
      </c>
      <c r="V81" s="2" t="inlineStr">
        <is>
          <t>Website</t>
        </is>
      </c>
      <c r="W81" s="2" t="inlineStr">
        <is>
          <t>None found</t>
        </is>
      </c>
      <c r="X81" s="2" t="inlineStr">
        <is>
          <t>Two-state operation</t>
        </is>
      </c>
      <c r="Y81" s="2" t="inlineStr">
        <is>
          <t>None found</t>
        </is>
      </c>
      <c r="Z81" s="2" t="inlineStr">
        <is>
          <t>Website contact/phone</t>
        </is>
      </c>
      <c r="AA81" s="2" t="inlineStr">
        <is>
          <t>Lead routing</t>
        </is>
      </c>
      <c r="AB81" s="2" t="inlineStr">
        <is>
          <t>Medium</t>
        </is>
      </c>
      <c r="AC81" s="2" t="inlineStr">
        <is>
          <t>You install solar and roofing in both Colorado and California.</t>
        </is>
      </c>
      <c r="AD81" s="2" t="inlineStr">
        <is>
          <t>Supports the lead routing idea: Website contact/phone</t>
        </is>
      </c>
      <c r="AE81" s="2" t="inlineStr">
        <is>
          <t>I was looking at your website and saw that you install solar and roofing in both Colorado and California.</t>
        </is>
      </c>
      <c r="AF81" s="2" t="inlineStr">
        <is>
          <t>A lead routing idea for Summit Solar &amp; Roofing</t>
        </is>
      </c>
      <c r="AG81" s="2" t="inlineStr">
        <is>
          <t>Hi Summit Solar &amp; Roofing team,
I was looking at your website and saw that you install solar and roofing in both Colorado and California.
I work with businesses on AI and workflow automation. For a solar company like Summit Solar &amp; Roofing,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81" s="2" t="inlineStr">
        <is>
          <t>https://www.summitsolarandroofing.com/</t>
        </is>
      </c>
      <c r="AI81" s="2" t="inlineStr">
        <is>
          <t>Homepage title 'Solar Panel Install | CO &amp; CA'; phone (888) 257-8664.</t>
        </is>
      </c>
      <c r="AJ81" s="2" t="inlineStr">
        <is>
          <t>Company website</t>
        </is>
      </c>
      <c r="AK81" s="2" t="inlineStr">
        <is>
          <t>Medium</t>
        </is>
      </c>
      <c r="AL81" s="2" t="inlineStr">
        <is>
          <t>Reject</t>
        </is>
      </c>
      <c r="AM81" s="2" t="inlineStr">
        <is>
          <t>Not Sent</t>
        </is>
      </c>
      <c r="AN81" s="2" t="n"/>
      <c r="AO81" s="2" t="inlineStr">
        <is>
          <t>Batch 1 | No email found in searches. HQ state uncertain (CO or CA). | No publicly verified business email found.</t>
        </is>
      </c>
    </row>
    <row r="82">
      <c r="A82" s="2" t="inlineStr"/>
      <c r="B82" s="2" t="inlineStr">
        <is>
          <t>Steve Whitman (Whitman Construction)</t>
        </is>
      </c>
      <c r="C82" s="2" t="inlineStr"/>
      <c r="D82" s="2" t="inlineStr"/>
      <c r="E82" s="2" t="inlineStr"/>
      <c r="F82" s="2" t="inlineStr">
        <is>
          <t>United States</t>
        </is>
      </c>
      <c r="G82" s="2" t="inlineStr">
        <is>
          <t>New Jersey</t>
        </is>
      </c>
      <c r="H82" s="2" t="inlineStr"/>
      <c r="I82" s="2" t="inlineStr">
        <is>
          <t>https://www.stevewhitman.com/</t>
        </is>
      </c>
      <c r="J82" s="2" t="inlineStr">
        <is>
          <t>Roofing + solar contractor</t>
        </is>
      </c>
      <c r="K82" s="2" t="inlineStr">
        <is>
          <t>Roofing, solar roofing, solar panels, siding, windows, gutters</t>
        </is>
      </c>
      <c r="L82" s="2" t="inlineStr">
        <is>
          <t>Residential</t>
        </is>
      </c>
      <c r="M82" s="2" t="inlineStr">
        <is>
          <t>Unknown</t>
        </is>
      </c>
      <c r="N82" s="2" t="inlineStr">
        <is>
          <t>New Jersey and Pennsylvania</t>
        </is>
      </c>
      <c r="O82" s="2" t="inlineStr">
        <is>
          <t>Unknown</t>
        </is>
      </c>
      <c r="P82" s="2" t="inlineStr">
        <is>
          <t>Unknown</t>
        </is>
      </c>
      <c r="Q82" s="2" t="inlineStr">
        <is>
          <t>Unknown</t>
        </is>
      </c>
      <c r="R82" s="2" t="inlineStr">
        <is>
          <t>Unknown</t>
        </is>
      </c>
      <c r="S82" s="2" t="inlineStr">
        <is>
          <t>Unknown</t>
        </is>
      </c>
      <c r="T82" s="2" t="inlineStr">
        <is>
          <t>Unknown</t>
        </is>
      </c>
      <c r="U82" s="2" t="inlineStr">
        <is>
          <t>Unknown</t>
        </is>
      </c>
      <c r="V82" s="2" t="inlineStr">
        <is>
          <t>Website</t>
        </is>
      </c>
      <c r="W82" s="2" t="inlineStr">
        <is>
          <t>None found</t>
        </is>
      </c>
      <c r="X82" s="2" t="inlineStr">
        <is>
          <t>None found</t>
        </is>
      </c>
      <c r="Y82" s="2" t="inlineStr">
        <is>
          <t>None found</t>
        </is>
      </c>
      <c r="Z82" s="2" t="inlineStr">
        <is>
          <t>Website contact/phone</t>
        </is>
      </c>
      <c r="AA82" s="2" t="inlineStr">
        <is>
          <t>Appointment booking automation</t>
        </is>
      </c>
      <c r="AB82" s="2" t="inlineStr">
        <is>
          <t>Low</t>
        </is>
      </c>
      <c r="AC82" s="2" t="inlineStr">
        <is>
          <t>You have offered roofing and solar in NJ and PA since 1981.</t>
        </is>
      </c>
      <c r="AD82" s="2" t="inlineStr">
        <is>
          <t>Supports the appointment booking automation idea: Website contact/phone</t>
        </is>
      </c>
      <c r="AE82" s="2" t="inlineStr">
        <is>
          <t>I came across Steve Whitman (Whitman Construction) and noticed you have offered roofing and solar in NJ and PA since 1981.</t>
        </is>
      </c>
      <c r="AF82" s="2" t="inlineStr">
        <is>
          <t>Consultation booking at Steve Whitman (Whitman Construction)</t>
        </is>
      </c>
      <c r="AG82" s="2" t="inlineStr">
        <is>
          <t>Hi Steve Whitman (Whitman Construction) team,
I came across Steve Whitman (Whitman Construction) and noticed you have offered roofing and solar in NJ and PA since 1981.
I work with businesses on AI and workflow automation. For a solar company like Steve Whitman (Whitman Construction),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82" s="2" t="inlineStr">
        <is>
          <t>https://www.stevewhitman.com/</t>
        </is>
      </c>
      <c r="AI82" s="2" t="inlineStr">
        <is>
          <t>Homepage title 'Top Solar &amp; Roofing Company in NJ, PA'; founded 1981; phone 732-295-0875.</t>
        </is>
      </c>
      <c r="AJ82" s="2" t="inlineStr">
        <is>
          <t>Company website</t>
        </is>
      </c>
      <c r="AK82" s="2" t="inlineStr">
        <is>
          <t>Medium</t>
        </is>
      </c>
      <c r="AL82" s="2" t="inlineStr">
        <is>
          <t>Reject</t>
        </is>
      </c>
      <c r="AM82" s="2" t="inlineStr">
        <is>
          <t>Not Sent</t>
        </is>
      </c>
      <c r="AN82" s="2" t="n"/>
      <c r="AO82" s="2" t="inlineStr">
        <is>
          <t>Batch 1 | No email found in searches. | No publicly verified business email found.</t>
        </is>
      </c>
    </row>
    <row r="83">
      <c r="A83" s="2" t="inlineStr"/>
      <c r="B83" s="2" t="inlineStr">
        <is>
          <t>Palmetto</t>
        </is>
      </c>
      <c r="C83" s="2" t="inlineStr"/>
      <c r="D83" s="2" t="inlineStr"/>
      <c r="E83" s="2" t="inlineStr"/>
      <c r="F83" s="2" t="inlineStr">
        <is>
          <t>United States</t>
        </is>
      </c>
      <c r="G83" s="2" t="inlineStr"/>
      <c r="H83" s="2" t="inlineStr"/>
      <c r="I83" s="2" t="inlineStr">
        <is>
          <t>https://palmetto.com/</t>
        </is>
      </c>
      <c r="J83" s="2" t="inlineStr">
        <is>
          <t>Solar maintenance</t>
        </is>
      </c>
      <c r="K83" s="2" t="inlineStr">
        <is>
          <t>Solar installation, maintenance, repair, panel cleaning</t>
        </is>
      </c>
      <c r="L83" s="2" t="inlineStr">
        <is>
          <t>Residential</t>
        </is>
      </c>
      <c r="M83" s="2" t="inlineStr">
        <is>
          <t>Unknown</t>
        </is>
      </c>
      <c r="N83" s="2" t="inlineStr">
        <is>
          <t>Nationwide network</t>
        </is>
      </c>
      <c r="O83" s="2" t="inlineStr">
        <is>
          <t>Unknown</t>
        </is>
      </c>
      <c r="P83" s="2" t="inlineStr">
        <is>
          <t>Unknown</t>
        </is>
      </c>
      <c r="Q83" s="2" t="inlineStr">
        <is>
          <t>Unknown</t>
        </is>
      </c>
      <c r="R83" s="2" t="inlineStr">
        <is>
          <t>Unknown</t>
        </is>
      </c>
      <c r="S83" s="2" t="inlineStr">
        <is>
          <t>Yes</t>
        </is>
      </c>
      <c r="T83" s="2" t="inlineStr">
        <is>
          <t>Unknown</t>
        </is>
      </c>
      <c r="U83" s="2" t="inlineStr">
        <is>
          <t>Unknown</t>
        </is>
      </c>
      <c r="V83" s="2" t="inlineStr">
        <is>
          <t>Website</t>
        </is>
      </c>
      <c r="W83" s="2" t="inlineStr">
        <is>
          <t>None found</t>
        </is>
      </c>
      <c r="X83" s="2" t="inlineStr">
        <is>
          <t>Nationwide network of solar professionals</t>
        </is>
      </c>
      <c r="Y83" s="2" t="inlineStr">
        <is>
          <t>None found</t>
        </is>
      </c>
      <c r="Z83" s="2" t="inlineStr">
        <is>
          <t>Online service request form</t>
        </is>
      </c>
      <c r="AA83" s="2" t="inlineStr">
        <is>
          <t>Customer support automation</t>
        </is>
      </c>
      <c r="AB83" s="2" t="inlineStr">
        <is>
          <t>High</t>
        </is>
      </c>
      <c r="AC83" s="2" t="inlineStr">
        <is>
          <t>Your site lets homeowners request solar panel cleaning service online.</t>
        </is>
      </c>
      <c r="AD83" s="2" t="inlineStr">
        <is>
          <t>Supports the customer support automation idea: Online service request form</t>
        </is>
      </c>
      <c r="AE83" s="2" t="inlineStr">
        <is>
          <t>I noticed your site lets homeowners request solar panel cleaning service online.</t>
        </is>
      </c>
      <c r="AF83" s="2" t="inlineStr">
        <is>
          <t>A support workflow idea for Palmetto</t>
        </is>
      </c>
      <c r="AG83" s="2" t="inlineStr">
        <is>
          <t>Hi Palmetto team,
I noticed your site lets homeowners request solar panel cleaning service online.
I work with businesses on AI and workflow automation. For a solar company like Palmetto,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83" s="2" t="inlineStr">
        <is>
          <t>https://palmetto.com/request-service/ensure-peak-efficiency-clean-panels</t>
        </is>
      </c>
      <c r="AI83" s="2" t="inlineStr">
        <is>
          <t>Site has /request-service/ pages for solar panel cleaning; nationwide network of solar professionals.</t>
        </is>
      </c>
      <c r="AJ83" s="2" t="inlineStr">
        <is>
          <t>Company website</t>
        </is>
      </c>
      <c r="AK83" s="2" t="inlineStr">
        <is>
          <t>Medium</t>
        </is>
      </c>
      <c r="AL83" s="2" t="inlineStr">
        <is>
          <t>Reject</t>
        </is>
      </c>
      <c r="AM83" s="2" t="inlineStr">
        <is>
          <t>Not Sent</t>
        </is>
      </c>
      <c r="AN83" s="2" t="n"/>
      <c r="AO83" s="2" t="inlineStr">
        <is>
          <t>Batch 1 | No email found in searches. | No publicly verified business email found.</t>
        </is>
      </c>
    </row>
    <row r="84">
      <c r="A84" s="2" t="inlineStr"/>
      <c r="B84" s="2" t="inlineStr">
        <is>
          <t>Clean Solar Solutions America</t>
        </is>
      </c>
      <c r="C84" s="2" t="inlineStr"/>
      <c r="D84" s="2" t="inlineStr"/>
      <c r="E84" s="2" t="inlineStr"/>
      <c r="F84" s="2" t="inlineStr">
        <is>
          <t>United States</t>
        </is>
      </c>
      <c r="G84" s="2" t="inlineStr"/>
      <c r="H84" s="2" t="inlineStr"/>
      <c r="I84" s="2" t="inlineStr">
        <is>
          <t>https://cleansolarsolutionsamerica.com/</t>
        </is>
      </c>
      <c r="J84" s="2" t="inlineStr">
        <is>
          <t>Solar maintenance</t>
        </is>
      </c>
      <c r="K84" s="2" t="inlineStr">
        <is>
          <t>Solar panel cleaning (robotic and manual)</t>
        </is>
      </c>
      <c r="L84" s="2" t="inlineStr">
        <is>
          <t>Residential &amp; Commercial</t>
        </is>
      </c>
      <c r="M84" s="2" t="inlineStr">
        <is>
          <t>Unknown</t>
        </is>
      </c>
      <c r="N84" s="2" t="inlineStr">
        <is>
          <t>USA</t>
        </is>
      </c>
      <c r="O84" s="2" t="inlineStr">
        <is>
          <t>Unknown</t>
        </is>
      </c>
      <c r="P84" s="2" t="inlineStr">
        <is>
          <t>Unknown</t>
        </is>
      </c>
      <c r="Q84" s="2" t="inlineStr">
        <is>
          <t>Unknown</t>
        </is>
      </c>
      <c r="R84" s="2" t="inlineStr">
        <is>
          <t>Unknown</t>
        </is>
      </c>
      <c r="S84" s="2" t="inlineStr">
        <is>
          <t>Unknown</t>
        </is>
      </c>
      <c r="T84" s="2" t="inlineStr">
        <is>
          <t>Unknown</t>
        </is>
      </c>
      <c r="U84" s="2" t="inlineStr">
        <is>
          <t>Unknown</t>
        </is>
      </c>
      <c r="V84" s="2" t="inlineStr">
        <is>
          <t>Website</t>
        </is>
      </c>
      <c r="W84" s="2" t="inlineStr">
        <is>
          <t>None found</t>
        </is>
      </c>
      <c r="X84" s="2" t="inlineStr">
        <is>
          <t>None found</t>
        </is>
      </c>
      <c r="Y84" s="2" t="inlineStr">
        <is>
          <t>None found</t>
        </is>
      </c>
      <c r="Z84" s="2" t="inlineStr">
        <is>
          <t>Website contact/phone</t>
        </is>
      </c>
      <c r="AA84" s="2" t="inlineStr">
        <is>
          <t>Quote request automation</t>
        </is>
      </c>
      <c r="AB84" s="2" t="inlineStr">
        <is>
          <t>Low</t>
        </is>
      </c>
      <c r="AC84" s="2" t="inlineStr">
        <is>
          <t>You clean solar panels using both robotic and manual methods.</t>
        </is>
      </c>
      <c r="AD84" s="2" t="inlineStr">
        <is>
          <t>Supports the quote request automation idea: Website contact/phone</t>
        </is>
      </c>
      <c r="AE84" s="2" t="inlineStr">
        <is>
          <t>I was looking at your website and saw that you clean solar panels using both robotic and manual methods.</t>
        </is>
      </c>
      <c r="AF84" s="2" t="inlineStr">
        <is>
          <t>A solar quote workflow idea</t>
        </is>
      </c>
      <c r="AG84" s="2" t="inlineStr">
        <is>
          <t>Hi Clean Solar Solutions America team,
I was looking at your website and saw that you clean solar panels using both robotic and manual methods.
I work with businesses on AI and workflow automation. For a solar company like Clean Solar Solutions America,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84" s="2" t="inlineStr">
        <is>
          <t>https://cleansolarsolutionsamerica.com/</t>
        </is>
      </c>
      <c r="AI84" s="2" t="inlineStr">
        <is>
          <t>Homepage title 'Solar Panel Cleaning USA'; robotic and manual cleaning.</t>
        </is>
      </c>
      <c r="AJ84" s="2" t="inlineStr">
        <is>
          <t>Company website</t>
        </is>
      </c>
      <c r="AK84" s="2" t="inlineStr">
        <is>
          <t>Medium</t>
        </is>
      </c>
      <c r="AL84" s="2" t="inlineStr">
        <is>
          <t>Reject</t>
        </is>
      </c>
      <c r="AM84" s="2" t="inlineStr">
        <is>
          <t>Not Sent</t>
        </is>
      </c>
      <c r="AN84" s="2" t="n"/>
      <c r="AO84" s="2" t="inlineStr">
        <is>
          <t>Batch 1 | No email found in searches. | No publicly verified business email found.</t>
        </is>
      </c>
    </row>
    <row r="85">
      <c r="A85" s="2" t="inlineStr"/>
      <c r="B85" s="2" t="inlineStr">
        <is>
          <t>PVWORX</t>
        </is>
      </c>
      <c r="C85" s="2" t="inlineStr"/>
      <c r="D85" s="2" t="inlineStr"/>
      <c r="E85" s="2" t="inlineStr"/>
      <c r="F85" s="2" t="inlineStr">
        <is>
          <t>United States</t>
        </is>
      </c>
      <c r="G85" s="2" t="inlineStr"/>
      <c r="H85" s="2" t="inlineStr"/>
      <c r="I85" s="2" t="inlineStr">
        <is>
          <t>https://pvworx.com/</t>
        </is>
      </c>
      <c r="J85" s="2" t="inlineStr">
        <is>
          <t>Solar maintenance</t>
        </is>
      </c>
      <c r="K85" s="2" t="inlineStr">
        <is>
          <t>Solar O&amp;M, panel cleaning</t>
        </is>
      </c>
      <c r="L85" s="2" t="inlineStr">
        <is>
          <t>Commercial &amp; Utility</t>
        </is>
      </c>
      <c r="M85" s="2" t="inlineStr">
        <is>
          <t>Unknown</t>
        </is>
      </c>
      <c r="N85" s="2" t="inlineStr">
        <is>
          <t>Nationwide via partner network</t>
        </is>
      </c>
      <c r="O85" s="2" t="inlineStr">
        <is>
          <t>Unknown</t>
        </is>
      </c>
      <c r="P85" s="2" t="inlineStr">
        <is>
          <t>Unknown</t>
        </is>
      </c>
      <c r="Q85" s="2" t="inlineStr">
        <is>
          <t>Unknown</t>
        </is>
      </c>
      <c r="R85" s="2" t="inlineStr">
        <is>
          <t>Unknown</t>
        </is>
      </c>
      <c r="S85" s="2" t="inlineStr">
        <is>
          <t>Unknown</t>
        </is>
      </c>
      <c r="T85" s="2" t="inlineStr">
        <is>
          <t>Unknown</t>
        </is>
      </c>
      <c r="U85" s="2" t="inlineStr">
        <is>
          <t>Unknown</t>
        </is>
      </c>
      <c r="V85" s="2" t="inlineStr">
        <is>
          <t>Website</t>
        </is>
      </c>
      <c r="W85" s="2" t="inlineStr">
        <is>
          <t>None found</t>
        </is>
      </c>
      <c r="X85" s="2" t="inlineStr">
        <is>
          <t>None found</t>
        </is>
      </c>
      <c r="Y85" s="2" t="inlineStr">
        <is>
          <t>None found</t>
        </is>
      </c>
      <c r="Z85" s="2" t="inlineStr">
        <is>
          <t>Website contact/phone</t>
        </is>
      </c>
      <c r="AA85" s="2" t="inlineStr">
        <is>
          <t>Lead routing</t>
        </is>
      </c>
      <c r="AB85" s="2" t="inlineStr">
        <is>
          <t>Low</t>
        </is>
      </c>
      <c r="AC85" s="2" t="inlineStr">
        <is>
          <t>You serve commercial and utility-scale solar through a nationwide partner network.</t>
        </is>
      </c>
      <c r="AD85" s="2" t="inlineStr">
        <is>
          <t>Supports the lead routing idea: Website contact/phone</t>
        </is>
      </c>
      <c r="AE85" s="2" t="inlineStr">
        <is>
          <t>I came across PVWORX and noticed you serve commercial and utility-scale solar through a nationwide partner network.</t>
        </is>
      </c>
      <c r="AF85" s="2" t="inlineStr">
        <is>
          <t>A lead routing idea for PVWORX</t>
        </is>
      </c>
      <c r="AG85" s="2" t="inlineStr">
        <is>
          <t>Hi PVWORX team,
I came across PVWORX and noticed you serve commercial and utility-scale solar through a nationwide partner network.
I work with businesses on AI and workflow automation. For a solar company like PVWORX,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85" s="2" t="inlineStr">
        <is>
          <t>https://pvworx.com/</t>
        </is>
      </c>
      <c r="AI85" s="2" t="inlineStr">
        <is>
          <t>Commercial &amp; utility-scale specialists with nationwide partner network (summary).</t>
        </is>
      </c>
      <c r="AJ85" s="2" t="inlineStr">
        <is>
          <t>Company website</t>
        </is>
      </c>
      <c r="AK85" s="2" t="inlineStr">
        <is>
          <t>Medium</t>
        </is>
      </c>
      <c r="AL85" s="2" t="inlineStr">
        <is>
          <t>Reject</t>
        </is>
      </c>
      <c r="AM85" s="2" t="inlineStr">
        <is>
          <t>Not Sent</t>
        </is>
      </c>
      <c r="AN85" s="2" t="n"/>
      <c r="AO85" s="2" t="inlineStr">
        <is>
          <t>Batch 1 | No email found in searches. | No publicly verified business email found.</t>
        </is>
      </c>
    </row>
    <row r="86">
      <c r="A86" s="2" t="inlineStr"/>
      <c r="B86" s="2" t="inlineStr">
        <is>
          <t>Premier Solar Cleaning</t>
        </is>
      </c>
      <c r="C86" s="2" t="inlineStr"/>
      <c r="D86" s="2" t="inlineStr"/>
      <c r="E86" s="2" t="inlineStr"/>
      <c r="F86" s="2" t="inlineStr">
        <is>
          <t>United States</t>
        </is>
      </c>
      <c r="G86" s="2" t="inlineStr"/>
      <c r="H86" s="2" t="inlineStr"/>
      <c r="I86" s="2" t="inlineStr">
        <is>
          <t>https://premiersolarcleaning.com/</t>
        </is>
      </c>
      <c r="J86" s="2" t="inlineStr">
        <is>
          <t>Solar maintenance</t>
        </is>
      </c>
      <c r="K86" s="2" t="inlineStr">
        <is>
          <t>Solar panel cleaning</t>
        </is>
      </c>
      <c r="L86" s="2" t="inlineStr">
        <is>
          <t>Unknown</t>
        </is>
      </c>
      <c r="M86" s="2" t="inlineStr">
        <is>
          <t>Unknown</t>
        </is>
      </c>
      <c r="N86" s="2" t="inlineStr">
        <is>
          <t>Unknown</t>
        </is>
      </c>
      <c r="O86" s="2" t="inlineStr">
        <is>
          <t>Unknown</t>
        </is>
      </c>
      <c r="P86" s="2" t="inlineStr">
        <is>
          <t>Unknown</t>
        </is>
      </c>
      <c r="Q86" s="2" t="inlineStr">
        <is>
          <t>Unknown</t>
        </is>
      </c>
      <c r="R86" s="2" t="inlineStr">
        <is>
          <t>Unknown</t>
        </is>
      </c>
      <c r="S86" s="2" t="inlineStr">
        <is>
          <t>Unknown</t>
        </is>
      </c>
      <c r="T86" s="2" t="inlineStr">
        <is>
          <t>Unknown</t>
        </is>
      </c>
      <c r="U86" s="2" t="inlineStr">
        <is>
          <t>Unknown</t>
        </is>
      </c>
      <c r="V86" s="2" t="inlineStr">
        <is>
          <t>Website</t>
        </is>
      </c>
      <c r="W86" s="2" t="inlineStr">
        <is>
          <t>None found</t>
        </is>
      </c>
      <c r="X86" s="2" t="inlineStr">
        <is>
          <t>None found</t>
        </is>
      </c>
      <c r="Y86" s="2" t="inlineStr">
        <is>
          <t>None found</t>
        </is>
      </c>
      <c r="Z86" s="2" t="inlineStr">
        <is>
          <t>Website contact/phone</t>
        </is>
      </c>
      <c r="AA86" s="2" t="inlineStr">
        <is>
          <t>Quote request automation</t>
        </is>
      </c>
      <c r="AB86" s="2" t="inlineStr">
        <is>
          <t>Low</t>
        </is>
      </c>
      <c r="AC86" s="2" t="inlineStr">
        <is>
          <t>You specialise in solar panel cleaning.</t>
        </is>
      </c>
      <c r="AD86" s="2" t="inlineStr">
        <is>
          <t>Supports the quote request automation idea: Website contact/phone</t>
        </is>
      </c>
      <c r="AE86" s="2" t="inlineStr">
        <is>
          <t>I noticed you specialise in solar panel cleaning.</t>
        </is>
      </c>
      <c r="AF86" s="2" t="inlineStr">
        <is>
          <t>A solar quote workflow idea</t>
        </is>
      </c>
      <c r="AG86" s="2" t="inlineStr">
        <is>
          <t>Hi Premier Solar Cleaning team,
I noticed you specialise in solar panel cleaning.
I work with businesses on AI and workflow automation. For a solar company like Premier Solar Cleaning,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86" s="2" t="inlineStr">
        <is>
          <t>https://premiersolarcleaning.com/</t>
        </is>
      </c>
      <c r="AI86" s="2" t="inlineStr">
        <is>
          <t>Company homepage appeared in solar panel cleaning search.</t>
        </is>
      </c>
      <c r="AJ86" s="2" t="inlineStr">
        <is>
          <t>Company website</t>
        </is>
      </c>
      <c r="AK86" s="2" t="inlineStr">
        <is>
          <t>Medium</t>
        </is>
      </c>
      <c r="AL86" s="2" t="inlineStr">
        <is>
          <t>Reject</t>
        </is>
      </c>
      <c r="AM86" s="2" t="inlineStr">
        <is>
          <t>Not Sent</t>
        </is>
      </c>
      <c r="AN86" s="2" t="n"/>
      <c r="AO86" s="2" t="inlineStr">
        <is>
          <t>Batch 1 | No email found in searches. Location not verified. | No publicly verified business email found.</t>
        </is>
      </c>
    </row>
    <row r="87">
      <c r="A87" s="2" t="inlineStr"/>
      <c r="B87" s="2" t="inlineStr">
        <is>
          <t>SolShine Solar Panel Cleaning</t>
        </is>
      </c>
      <c r="C87" s="2" t="inlineStr"/>
      <c r="D87" s="2" t="inlineStr"/>
      <c r="E87" s="2" t="inlineStr"/>
      <c r="F87" s="2" t="inlineStr">
        <is>
          <t>United States</t>
        </is>
      </c>
      <c r="G87" s="2" t="inlineStr">
        <is>
          <t>Washington</t>
        </is>
      </c>
      <c r="H87" s="2" t="inlineStr"/>
      <c r="I87" s="2" t="inlineStr">
        <is>
          <t>https://www.solshineclean.com/</t>
        </is>
      </c>
      <c r="J87" s="2" t="inlineStr">
        <is>
          <t>Solar maintenance</t>
        </is>
      </c>
      <c r="K87" s="2" t="inlineStr">
        <is>
          <t>Solar panel cleaning</t>
        </is>
      </c>
      <c r="L87" s="2" t="inlineStr">
        <is>
          <t>Residential</t>
        </is>
      </c>
      <c r="M87" s="2" t="inlineStr">
        <is>
          <t>Unknown</t>
        </is>
      </c>
      <c r="N87" s="2" t="inlineStr">
        <is>
          <t>Washington</t>
        </is>
      </c>
      <c r="O87" s="2" t="inlineStr">
        <is>
          <t>Unknown</t>
        </is>
      </c>
      <c r="P87" s="2" t="inlineStr">
        <is>
          <t>Unknown</t>
        </is>
      </c>
      <c r="Q87" s="2" t="inlineStr">
        <is>
          <t>Unknown</t>
        </is>
      </c>
      <c r="R87" s="2" t="inlineStr">
        <is>
          <t>Unknown</t>
        </is>
      </c>
      <c r="S87" s="2" t="inlineStr">
        <is>
          <t>Unknown</t>
        </is>
      </c>
      <c r="T87" s="2" t="inlineStr">
        <is>
          <t>Unknown</t>
        </is>
      </c>
      <c r="U87" s="2" t="inlineStr">
        <is>
          <t>Unknown</t>
        </is>
      </c>
      <c r="V87" s="2" t="inlineStr">
        <is>
          <t>Website</t>
        </is>
      </c>
      <c r="W87" s="2" t="inlineStr">
        <is>
          <t>None found</t>
        </is>
      </c>
      <c r="X87" s="2" t="inlineStr">
        <is>
          <t>None found</t>
        </is>
      </c>
      <c r="Y87" s="2" t="inlineStr">
        <is>
          <t>None found</t>
        </is>
      </c>
      <c r="Z87" s="2" t="inlineStr">
        <is>
          <t>Website contact/phone</t>
        </is>
      </c>
      <c r="AA87" s="2" t="inlineStr">
        <is>
          <t>Appointment booking automation</t>
        </is>
      </c>
      <c r="AB87" s="2" t="inlineStr">
        <is>
          <t>Low</t>
        </is>
      </c>
      <c r="AC87" s="2" t="inlineStr">
        <is>
          <t>You offer solar panel cleaning in Washington State.</t>
        </is>
      </c>
      <c r="AD87" s="2" t="inlineStr">
        <is>
          <t>Supports the appointment booking automation idea: Website contact/phone</t>
        </is>
      </c>
      <c r="AE87" s="2" t="inlineStr">
        <is>
          <t>I was looking at your website and saw that you offer solar panel cleaning in Washington State.</t>
        </is>
      </c>
      <c r="AF87" s="2" t="inlineStr">
        <is>
          <t>Solar appointment follow up</t>
        </is>
      </c>
      <c r="AG87" s="2" t="inlineStr">
        <is>
          <t>Hi SolShine Solar Panel Cleaning team,
I was looking at your website and saw that you offer solar panel cleaning in Washington State.
I work with businesses on AI and workflow automation. For a solar company like SolShine Solar Panel Cleaning,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87" s="2" t="inlineStr">
        <is>
          <t>https://www.solshineclean.com/</t>
        </is>
      </c>
      <c r="AI87" s="2" t="inlineStr">
        <is>
          <t>Homepage title 'Solar Panel Cleaning Washington'.</t>
        </is>
      </c>
      <c r="AJ87" s="2" t="inlineStr">
        <is>
          <t>Company website</t>
        </is>
      </c>
      <c r="AK87" s="2" t="inlineStr">
        <is>
          <t>Medium</t>
        </is>
      </c>
      <c r="AL87" s="2" t="inlineStr">
        <is>
          <t>Reject</t>
        </is>
      </c>
      <c r="AM87" s="2" t="inlineStr">
        <is>
          <t>Not Sent</t>
        </is>
      </c>
      <c r="AN87" s="2" t="n"/>
      <c r="AO87" s="2" t="inlineStr">
        <is>
          <t>Batch 1 | No email found in searches. | No publicly verified business email found.</t>
        </is>
      </c>
    </row>
    <row r="88">
      <c r="A88" s="2" t="inlineStr"/>
      <c r="B88" s="2" t="inlineStr">
        <is>
          <t>Shine Solar Cleaners</t>
        </is>
      </c>
      <c r="C88" s="2" t="inlineStr"/>
      <c r="D88" s="2" t="inlineStr"/>
      <c r="E88" s="2" t="inlineStr"/>
      <c r="F88" s="2" t="inlineStr">
        <is>
          <t>United States</t>
        </is>
      </c>
      <c r="G88" s="2" t="inlineStr">
        <is>
          <t>California</t>
        </is>
      </c>
      <c r="H88" s="2" t="inlineStr"/>
      <c r="I88" s="2" t="inlineStr">
        <is>
          <t>https://www.shinesolarclean.com/</t>
        </is>
      </c>
      <c r="J88" s="2" t="inlineStr">
        <is>
          <t>Solar maintenance</t>
        </is>
      </c>
      <c r="K88" s="2" t="inlineStr">
        <is>
          <t>Solar panel cleaning</t>
        </is>
      </c>
      <c r="L88" s="2" t="inlineStr">
        <is>
          <t>Residential</t>
        </is>
      </c>
      <c r="M88" s="2" t="inlineStr">
        <is>
          <t>Unknown</t>
        </is>
      </c>
      <c r="N88" s="2" t="inlineStr">
        <is>
          <t>Northridge, CA area</t>
        </is>
      </c>
      <c r="O88" s="2" t="inlineStr">
        <is>
          <t>Unknown</t>
        </is>
      </c>
      <c r="P88" s="2" t="inlineStr">
        <is>
          <t>Unknown</t>
        </is>
      </c>
      <c r="Q88" s="2" t="inlineStr">
        <is>
          <t>Unknown</t>
        </is>
      </c>
      <c r="R88" s="2" t="inlineStr">
        <is>
          <t>Unknown</t>
        </is>
      </c>
      <c r="S88" s="2" t="inlineStr">
        <is>
          <t>Unknown</t>
        </is>
      </c>
      <c r="T88" s="2" t="inlineStr">
        <is>
          <t>Unknown</t>
        </is>
      </c>
      <c r="U88" s="2" t="inlineStr">
        <is>
          <t>Unknown</t>
        </is>
      </c>
      <c r="V88" s="2" t="inlineStr">
        <is>
          <t>Website</t>
        </is>
      </c>
      <c r="W88" s="2" t="inlineStr">
        <is>
          <t>None found</t>
        </is>
      </c>
      <c r="X88" s="2" t="inlineStr">
        <is>
          <t>None found</t>
        </is>
      </c>
      <c r="Y88" s="2" t="inlineStr">
        <is>
          <t>None found</t>
        </is>
      </c>
      <c r="Z88" s="2" t="inlineStr">
        <is>
          <t>Website contact/phone</t>
        </is>
      </c>
      <c r="AA88" s="2" t="inlineStr">
        <is>
          <t>Appointment booking automation</t>
        </is>
      </c>
      <c r="AB88" s="2" t="inlineStr">
        <is>
          <t>Low</t>
        </is>
      </c>
      <c r="AC88" s="2" t="inlineStr">
        <is>
          <t>You provide solar panel cleaning around Northridge, CA.</t>
        </is>
      </c>
      <c r="AD88" s="2" t="inlineStr">
        <is>
          <t>Supports the appointment booking automation idea: Website contact/phone</t>
        </is>
      </c>
      <c r="AE88" s="2" t="inlineStr">
        <is>
          <t>I came across Shine Solar Cleaners and noticed you provide solar panel cleaning around Northridge, CA.</t>
        </is>
      </c>
      <c r="AF88" s="2" t="inlineStr">
        <is>
          <t>Consultation booking at Shine Solar Cleaners</t>
        </is>
      </c>
      <c r="AG88" s="2" t="inlineStr">
        <is>
          <t>Hi Shine Solar Cleaners team,
I came across Shine Solar Cleaners and noticed you provide solar panel cleaning around Northridge, CA.
I work with businesses on AI and workflow automation. For a solar company like Shine Solar Cleaners,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88" s="2" t="inlineStr">
        <is>
          <t>https://www.shinesolarclean.com/</t>
        </is>
      </c>
      <c r="AI88" s="2" t="inlineStr">
        <is>
          <t>Homepage title 'Solar Panel Cleaning | Northridge, CA'.</t>
        </is>
      </c>
      <c r="AJ88" s="2" t="inlineStr">
        <is>
          <t>Company website</t>
        </is>
      </c>
      <c r="AK88" s="2" t="inlineStr">
        <is>
          <t>Medium</t>
        </is>
      </c>
      <c r="AL88" s="2" t="inlineStr">
        <is>
          <t>Reject</t>
        </is>
      </c>
      <c r="AM88" s="2" t="inlineStr">
        <is>
          <t>Not Sent</t>
        </is>
      </c>
      <c r="AN88" s="2" t="n"/>
      <c r="AO88" s="2" t="inlineStr">
        <is>
          <t>Batch 1 | No email found in searches. | No publicly verified business email found.</t>
        </is>
      </c>
    </row>
    <row r="89">
      <c r="A89" s="2" t="inlineStr"/>
      <c r="B89" s="2" t="inlineStr">
        <is>
          <t>GreenSpark Solar</t>
        </is>
      </c>
      <c r="C89" s="2" t="inlineStr"/>
      <c r="D89" s="2" t="inlineStr"/>
      <c r="E89" s="2" t="inlineStr"/>
      <c r="F89" s="2" t="inlineStr">
        <is>
          <t>United States</t>
        </is>
      </c>
      <c r="G89" s="2" t="inlineStr"/>
      <c r="H89" s="2" t="inlineStr"/>
      <c r="I89" s="2" t="inlineStr">
        <is>
          <t>https://greensparksolar.com/</t>
        </is>
      </c>
      <c r="J89" s="2" t="inlineStr">
        <is>
          <t>Commercial solar EPC</t>
        </is>
      </c>
      <c r="K89" s="2" t="inlineStr">
        <is>
          <t>EPC for community solar, C&amp;I, municipal, utility-scale</t>
        </is>
      </c>
      <c r="L89" s="2" t="inlineStr">
        <is>
          <t>Commercial</t>
        </is>
      </c>
      <c r="M89" s="2" t="inlineStr">
        <is>
          <t>Unknown</t>
        </is>
      </c>
      <c r="N89" s="2" t="inlineStr">
        <is>
          <t>Northeast, Midwest, Mid-Atlantic</t>
        </is>
      </c>
      <c r="O89" s="2" t="inlineStr">
        <is>
          <t>Unknown</t>
        </is>
      </c>
      <c r="P89" s="2" t="inlineStr">
        <is>
          <t>Unknown</t>
        </is>
      </c>
      <c r="Q89" s="2" t="inlineStr">
        <is>
          <t>Unknown</t>
        </is>
      </c>
      <c r="R89" s="2" t="inlineStr">
        <is>
          <t>Unknown</t>
        </is>
      </c>
      <c r="S89" s="2" t="inlineStr">
        <is>
          <t>Unknown</t>
        </is>
      </c>
      <c r="T89" s="2" t="inlineStr">
        <is>
          <t>Unknown</t>
        </is>
      </c>
      <c r="U89" s="2" t="inlineStr">
        <is>
          <t>Unknown</t>
        </is>
      </c>
      <c r="V89" s="2" t="inlineStr">
        <is>
          <t>Website</t>
        </is>
      </c>
      <c r="W89" s="2" t="inlineStr">
        <is>
          <t>None found</t>
        </is>
      </c>
      <c r="X89" s="2" t="inlineStr">
        <is>
          <t>Multi-region EPC</t>
        </is>
      </c>
      <c r="Y89" s="2" t="inlineStr">
        <is>
          <t>None found</t>
        </is>
      </c>
      <c r="Z89" s="2" t="inlineStr">
        <is>
          <t>Website contact/phone</t>
        </is>
      </c>
      <c r="AA89" s="2" t="inlineStr">
        <is>
          <t>Lead routing</t>
        </is>
      </c>
      <c r="AB89" s="2" t="inlineStr">
        <is>
          <t>Medium</t>
        </is>
      </c>
      <c r="AC89" s="2" t="inlineStr">
        <is>
          <t>You bill yourselves as the #1 community solar EPC in the U.S.</t>
        </is>
      </c>
      <c r="AD89" s="2" t="inlineStr">
        <is>
          <t>Supports the lead routing idea: Website contact/phone</t>
        </is>
      </c>
      <c r="AE89" s="2" t="inlineStr">
        <is>
          <t>I noticed you bill yourselves as the #1 community solar EPC in the U.S.</t>
        </is>
      </c>
      <c r="AF89" s="2" t="inlineStr">
        <is>
          <t>A lead routing idea for GreenSpark Solar</t>
        </is>
      </c>
      <c r="AG89" s="2" t="inlineStr">
        <is>
          <t>Hi GreenSpark Solar team,
I noticed you bill yourselves as the #1 community solar EPC in the U.S.
I work with businesses on AI and workflow automation. For a solar company like GreenSpark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89" s="2" t="inlineStr">
        <is>
          <t>https://greensparksolar.com/engineering-procurement-and-construction-for-solar-projects/</t>
        </is>
      </c>
      <c r="AI89" s="2" t="inlineStr">
        <is>
          <t>EPC page titled '#1 Community Solar EPC in the U.S.'.</t>
        </is>
      </c>
      <c r="AJ89" s="2" t="inlineStr">
        <is>
          <t>Company website</t>
        </is>
      </c>
      <c r="AK89" s="2" t="inlineStr">
        <is>
          <t>Medium</t>
        </is>
      </c>
      <c r="AL89" s="2" t="inlineStr">
        <is>
          <t>Reject</t>
        </is>
      </c>
      <c r="AM89" s="2" t="inlineStr">
        <is>
          <t>Not Sent</t>
        </is>
      </c>
      <c r="AN89" s="2" t="n"/>
      <c r="AO89" s="2" t="inlineStr">
        <is>
          <t>Batch 1 | No email found in searches. | No publicly verified business email found.</t>
        </is>
      </c>
    </row>
    <row r="90">
      <c r="A90" s="2" t="inlineStr"/>
      <c r="B90" s="2" t="inlineStr">
        <is>
          <t>Cedar Creek Energy</t>
        </is>
      </c>
      <c r="C90" s="2" t="inlineStr"/>
      <c r="D90" s="2" t="inlineStr"/>
      <c r="E90" s="2" t="inlineStr"/>
      <c r="F90" s="2" t="inlineStr">
        <is>
          <t>United States</t>
        </is>
      </c>
      <c r="G90" s="2" t="inlineStr">
        <is>
          <t>Minnesota</t>
        </is>
      </c>
      <c r="H90" s="2" t="inlineStr"/>
      <c r="I90" s="2" t="inlineStr">
        <is>
          <t>https://cedarcreekenergy.com/</t>
        </is>
      </c>
      <c r="J90" s="2" t="inlineStr">
        <is>
          <t>Commercial solar EPC</t>
        </is>
      </c>
      <c r="K90" s="2" t="inlineStr">
        <is>
          <t>Solar EPC, electrical contracting</t>
        </is>
      </c>
      <c r="L90" s="2" t="inlineStr">
        <is>
          <t>Commercial</t>
        </is>
      </c>
      <c r="M90" s="2" t="inlineStr">
        <is>
          <t>Unknown</t>
        </is>
      </c>
      <c r="N90" s="2" t="inlineStr">
        <is>
          <t>Midwest</t>
        </is>
      </c>
      <c r="O90" s="2" t="inlineStr">
        <is>
          <t>Unknown</t>
        </is>
      </c>
      <c r="P90" s="2" t="inlineStr">
        <is>
          <t>Unknown</t>
        </is>
      </c>
      <c r="Q90" s="2" t="inlineStr">
        <is>
          <t>Unknown</t>
        </is>
      </c>
      <c r="R90" s="2" t="inlineStr">
        <is>
          <t>Unknown</t>
        </is>
      </c>
      <c r="S90" s="2" t="inlineStr">
        <is>
          <t>Unknown</t>
        </is>
      </c>
      <c r="T90" s="2" t="inlineStr">
        <is>
          <t>Unknown</t>
        </is>
      </c>
      <c r="U90" s="2" t="inlineStr">
        <is>
          <t>Unknown</t>
        </is>
      </c>
      <c r="V90" s="2" t="inlineStr">
        <is>
          <t>Website</t>
        </is>
      </c>
      <c r="W90" s="2" t="inlineStr">
        <is>
          <t>None found</t>
        </is>
      </c>
      <c r="X90" s="2" t="inlineStr">
        <is>
          <t>None found</t>
        </is>
      </c>
      <c r="Y90" s="2" t="inlineStr">
        <is>
          <t>None found</t>
        </is>
      </c>
      <c r="Z90" s="2" t="inlineStr">
        <is>
          <t>Website contact/phone</t>
        </is>
      </c>
      <c r="AA90" s="2" t="inlineStr">
        <is>
          <t>Lead routing</t>
        </is>
      </c>
      <c r="AB90" s="2" t="inlineStr">
        <is>
          <t>Medium</t>
        </is>
      </c>
      <c r="AC90" s="2" t="inlineStr">
        <is>
          <t>You offer solar EPC services out of Minnesota.</t>
        </is>
      </c>
      <c r="AD90" s="2" t="inlineStr">
        <is>
          <t>Supports the lead routing idea: Website contact/phone</t>
        </is>
      </c>
      <c r="AE90" s="2" t="inlineStr">
        <is>
          <t>I was looking at your website and saw that you offer solar EPC services out of Minnesota.</t>
        </is>
      </c>
      <c r="AF90" s="2" t="inlineStr">
        <is>
          <t>Routing solar enquiries at Cedar Creek Energy</t>
        </is>
      </c>
      <c r="AG90" s="2" t="inlineStr">
        <is>
          <t>Hi Cedar Creek Energy team,
I was looking at your website and saw that you offer solar EPC services out of Minnesota.
I work with businesses on AI and workflow automation. For a solar company like Cedar Creek Energy,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90" s="2" t="inlineStr">
        <is>
          <t>https://cedarcreekenergy.com/commercial-solar-panel-systems/epc-services/</t>
        </is>
      </c>
      <c r="AI90" s="2" t="inlineStr">
        <is>
          <t>EPC services page; based in Blaine MN per summary.</t>
        </is>
      </c>
      <c r="AJ90" s="2" t="inlineStr">
        <is>
          <t>Company website</t>
        </is>
      </c>
      <c r="AK90" s="2" t="inlineStr">
        <is>
          <t>Medium</t>
        </is>
      </c>
      <c r="AL90" s="2" t="inlineStr">
        <is>
          <t>Reject</t>
        </is>
      </c>
      <c r="AM90" s="2" t="inlineStr">
        <is>
          <t>Not Sent</t>
        </is>
      </c>
      <c r="AN90" s="2" t="n"/>
      <c r="AO90" s="2" t="inlineStr">
        <is>
          <t>Batch 1 | No email found in searches. City Blaine from summary only. | No publicly verified business email found.</t>
        </is>
      </c>
    </row>
    <row r="91">
      <c r="A91" s="2" t="inlineStr"/>
      <c r="B91" s="2" t="inlineStr">
        <is>
          <t>Summit Energy Inc.</t>
        </is>
      </c>
      <c r="C91" s="2" t="inlineStr"/>
      <c r="D91" s="2" t="inlineStr"/>
      <c r="E91" s="2" t="inlineStr"/>
      <c r="F91" s="2" t="inlineStr">
        <is>
          <t>United States</t>
        </is>
      </c>
      <c r="G91" s="2" t="inlineStr">
        <is>
          <t>California</t>
        </is>
      </c>
      <c r="H91" s="2" t="inlineStr"/>
      <c r="I91" s="2" t="inlineStr">
        <is>
          <t>https://www.summitenergyinc.com/</t>
        </is>
      </c>
      <c r="J91" s="2" t="inlineStr">
        <is>
          <t>Commercial solar EPC</t>
        </is>
      </c>
      <c r="K91" s="2" t="inlineStr">
        <is>
          <t>Large commercial &amp; utility solar EPC, energy storage</t>
        </is>
      </c>
      <c r="L91" s="2" t="inlineStr">
        <is>
          <t>Commercial</t>
        </is>
      </c>
      <c r="M91" s="2" t="inlineStr">
        <is>
          <t>Unknown</t>
        </is>
      </c>
      <c r="N91" s="2" t="inlineStr">
        <is>
          <t>California</t>
        </is>
      </c>
      <c r="O91" s="2" t="inlineStr">
        <is>
          <t>Unknown</t>
        </is>
      </c>
      <c r="P91" s="2" t="inlineStr">
        <is>
          <t>Unknown</t>
        </is>
      </c>
      <c r="Q91" s="2" t="inlineStr">
        <is>
          <t>Unknown</t>
        </is>
      </c>
      <c r="R91" s="2" t="inlineStr">
        <is>
          <t>Unknown</t>
        </is>
      </c>
      <c r="S91" s="2" t="inlineStr">
        <is>
          <t>Unknown</t>
        </is>
      </c>
      <c r="T91" s="2" t="inlineStr">
        <is>
          <t>Unknown</t>
        </is>
      </c>
      <c r="U91" s="2" t="inlineStr">
        <is>
          <t>Unknown</t>
        </is>
      </c>
      <c r="V91" s="2" t="inlineStr">
        <is>
          <t>Website</t>
        </is>
      </c>
      <c r="W91" s="2" t="inlineStr">
        <is>
          <t>None found</t>
        </is>
      </c>
      <c r="X91" s="2" t="inlineStr">
        <is>
          <t>None found</t>
        </is>
      </c>
      <c r="Y91" s="2" t="inlineStr">
        <is>
          <t>None found</t>
        </is>
      </c>
      <c r="Z91" s="2" t="inlineStr">
        <is>
          <t>Website contact/phone</t>
        </is>
      </c>
      <c r="AA91" s="2" t="inlineStr">
        <is>
          <t>Lead routing</t>
        </is>
      </c>
      <c r="AB91" s="2" t="inlineStr">
        <is>
          <t>Low</t>
        </is>
      </c>
      <c r="AC91" s="2" t="inlineStr">
        <is>
          <t>You focus on large commercial solar EPC projects in California.</t>
        </is>
      </c>
      <c r="AD91" s="2" t="inlineStr">
        <is>
          <t>Supports the lead routing idea: Website contact/phone</t>
        </is>
      </c>
      <c r="AE91" s="2" t="inlineStr">
        <is>
          <t>I came across Summit Energy Inc. and noticed you focus on large commercial solar EPC projects in California.</t>
        </is>
      </c>
      <c r="AF91" s="2" t="inlineStr">
        <is>
          <t>A lead routing idea for Summit Energy Inc.</t>
        </is>
      </c>
      <c r="AG91" s="2" t="inlineStr">
        <is>
          <t>Hi Summit Energy Inc. team,
I came across Summit Energy Inc. and noticed you focus on large commercial solar EPC projects in California.
I work with businesses on AI and workflow automation. For a solar company like Summit Energy Inc.,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91" s="2" t="inlineStr">
        <is>
          <t>https://www.summitenergyinc.com/</t>
        </is>
      </c>
      <c r="AI91" s="2" t="inlineStr">
        <is>
          <t>Homepage title 'Large Commercial Solar EPC Company in California'.</t>
        </is>
      </c>
      <c r="AJ91" s="2" t="inlineStr">
        <is>
          <t>Company website</t>
        </is>
      </c>
      <c r="AK91" s="2" t="inlineStr">
        <is>
          <t>Medium</t>
        </is>
      </c>
      <c r="AL91" s="2" t="inlineStr">
        <is>
          <t>Reject</t>
        </is>
      </c>
      <c r="AM91" s="2" t="inlineStr">
        <is>
          <t>Not Sent</t>
        </is>
      </c>
      <c r="AN91" s="2" t="n"/>
      <c r="AO91" s="2" t="inlineStr">
        <is>
          <t>Batch 1 | No email found in searches. | No publicly verified business email found.</t>
        </is>
      </c>
    </row>
    <row r="92">
      <c r="A92" s="2" t="inlineStr"/>
      <c r="B92" s="2" t="inlineStr">
        <is>
          <t>Axium Solar</t>
        </is>
      </c>
      <c r="C92" s="2" t="inlineStr"/>
      <c r="D92" s="2" t="inlineStr"/>
      <c r="E92" s="2" t="inlineStr"/>
      <c r="F92" s="2" t="inlineStr">
        <is>
          <t>United States</t>
        </is>
      </c>
      <c r="G92" s="2" t="inlineStr"/>
      <c r="H92" s="2" t="inlineStr"/>
      <c r="I92" s="2" t="inlineStr">
        <is>
          <t>https://axiumsolar.com/</t>
        </is>
      </c>
      <c r="J92" s="2" t="inlineStr">
        <is>
          <t>Commercial solar EPC</t>
        </is>
      </c>
      <c r="K92" s="2" t="inlineStr">
        <is>
          <t>Commercial solar design, construction, O&amp;M</t>
        </is>
      </c>
      <c r="L92" s="2" t="inlineStr">
        <is>
          <t>Commercial</t>
        </is>
      </c>
      <c r="M92" s="2" t="inlineStr">
        <is>
          <t>Unknown</t>
        </is>
      </c>
      <c r="N92" s="2" t="inlineStr">
        <is>
          <t>Southwest</t>
        </is>
      </c>
      <c r="O92" s="2" t="inlineStr">
        <is>
          <t>Unknown</t>
        </is>
      </c>
      <c r="P92" s="2" t="inlineStr">
        <is>
          <t>Unknown</t>
        </is>
      </c>
      <c r="Q92" s="2" t="inlineStr">
        <is>
          <t>Unknown</t>
        </is>
      </c>
      <c r="R92" s="2" t="inlineStr">
        <is>
          <t>Unknown</t>
        </is>
      </c>
      <c r="S92" s="2" t="inlineStr">
        <is>
          <t>Unknown</t>
        </is>
      </c>
      <c r="T92" s="2" t="inlineStr">
        <is>
          <t>Unknown</t>
        </is>
      </c>
      <c r="U92" s="2" t="inlineStr">
        <is>
          <t>Unknown</t>
        </is>
      </c>
      <c r="V92" s="2" t="inlineStr">
        <is>
          <t>Website</t>
        </is>
      </c>
      <c r="W92" s="2" t="inlineStr">
        <is>
          <t>None found</t>
        </is>
      </c>
      <c r="X92" s="2" t="inlineStr">
        <is>
          <t>None found</t>
        </is>
      </c>
      <c r="Y92" s="2" t="inlineStr">
        <is>
          <t>None found</t>
        </is>
      </c>
      <c r="Z92" s="2" t="inlineStr">
        <is>
          <t>Website contact/phone</t>
        </is>
      </c>
      <c r="AA92" s="2" t="inlineStr">
        <is>
          <t>Lead routing</t>
        </is>
      </c>
      <c r="AB92" s="2" t="inlineStr">
        <is>
          <t>Low</t>
        </is>
      </c>
      <c r="AC92" s="2" t="inlineStr">
        <is>
          <t>You handle commercial solar from design through O&amp;M.</t>
        </is>
      </c>
      <c r="AD92" s="2" t="inlineStr">
        <is>
          <t>Supports the lead routing idea: Website contact/phone</t>
        </is>
      </c>
      <c r="AE92" s="2" t="inlineStr">
        <is>
          <t>I noticed you handle commercial solar from design through O&amp;M.</t>
        </is>
      </c>
      <c r="AF92" s="2" t="inlineStr">
        <is>
          <t>Routing solar enquiries at Axium Solar</t>
        </is>
      </c>
      <c r="AG92" s="2" t="inlineStr">
        <is>
          <t>Hi Axium Solar team,
I noticed you handle commercial solar from design through O&amp;M.
I work with businesses on AI and workflow automation. For a solar company like Axium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92" s="2" t="inlineStr">
        <is>
          <t>https://axiumsolar.com/</t>
        </is>
      </c>
      <c r="AI92" s="2" t="inlineStr">
        <is>
          <t>Homepage title 'Commercial Solar Contractor for Design, Construction &amp; O&amp;M'.</t>
        </is>
      </c>
      <c r="AJ92" s="2" t="inlineStr">
        <is>
          <t>Company website</t>
        </is>
      </c>
      <c r="AK92" s="2" t="inlineStr">
        <is>
          <t>Medium</t>
        </is>
      </c>
      <c r="AL92" s="2" t="inlineStr">
        <is>
          <t>Reject</t>
        </is>
      </c>
      <c r="AM92" s="2" t="inlineStr">
        <is>
          <t>Not Sent</t>
        </is>
      </c>
      <c r="AN92" s="2" t="n"/>
      <c r="AO92" s="2" t="inlineStr">
        <is>
          <t>Batch 1 | No email found in searches. | No publicly verified business email found.</t>
        </is>
      </c>
    </row>
    <row r="93">
      <c r="A93" s="2" t="inlineStr"/>
      <c r="B93" s="2" t="inlineStr">
        <is>
          <t>Qmerit</t>
        </is>
      </c>
      <c r="C93" s="2" t="inlineStr"/>
      <c r="D93" s="2" t="inlineStr"/>
      <c r="E93" s="2" t="inlineStr"/>
      <c r="F93" s="2" t="inlineStr">
        <is>
          <t>United States</t>
        </is>
      </c>
      <c r="G93" s="2" t="inlineStr"/>
      <c r="H93" s="2" t="inlineStr"/>
      <c r="I93" s="2" t="inlineStr">
        <is>
          <t>https://qmerit.com/</t>
        </is>
      </c>
      <c r="J93" s="2" t="inlineStr">
        <is>
          <t>EV charger &amp; home electrification installer network</t>
        </is>
      </c>
      <c r="K93" s="2" t="inlineStr">
        <is>
          <t>EV charger installation, home electrical services</t>
        </is>
      </c>
      <c r="L93" s="2" t="inlineStr">
        <is>
          <t>Residential &amp; Commercial</t>
        </is>
      </c>
      <c r="M93" s="2" t="inlineStr">
        <is>
          <t>Unknown</t>
        </is>
      </c>
      <c r="N93" s="2" t="inlineStr">
        <is>
          <t>Nationwide (North America)</t>
        </is>
      </c>
      <c r="O93" s="2" t="inlineStr">
        <is>
          <t>Unknown</t>
        </is>
      </c>
      <c r="P93" s="2" t="inlineStr">
        <is>
          <t>Unknown</t>
        </is>
      </c>
      <c r="Q93" s="2" t="inlineStr">
        <is>
          <t>Unknown</t>
        </is>
      </c>
      <c r="R93" s="2" t="inlineStr">
        <is>
          <t>Unknown</t>
        </is>
      </c>
      <c r="S93" s="2" t="inlineStr">
        <is>
          <t>Unknown</t>
        </is>
      </c>
      <c r="T93" s="2" t="inlineStr">
        <is>
          <t>Unknown</t>
        </is>
      </c>
      <c r="U93" s="2" t="inlineStr">
        <is>
          <t>Unknown</t>
        </is>
      </c>
      <c r="V93" s="2" t="inlineStr">
        <is>
          <t>Website</t>
        </is>
      </c>
      <c r="W93" s="2" t="inlineStr">
        <is>
          <t>None found</t>
        </is>
      </c>
      <c r="X93" s="2" t="inlineStr">
        <is>
          <t>Nationwide installer network; retail partnership (Lowe's)</t>
        </is>
      </c>
      <c r="Y93" s="2" t="inlineStr">
        <is>
          <t>None found</t>
        </is>
      </c>
      <c r="Z93" s="2" t="inlineStr">
        <is>
          <t>Website contact/phone</t>
        </is>
      </c>
      <c r="AA93" s="2" t="inlineStr">
        <is>
          <t>Lead routing</t>
        </is>
      </c>
      <c r="AB93" s="2" t="inlineStr">
        <is>
          <t>High</t>
        </is>
      </c>
      <c r="AC93" s="2" t="inlineStr">
        <is>
          <t>Your nationwide electrician network handles EV charger installs, including for Lowe's customers.</t>
        </is>
      </c>
      <c r="AD93" s="2" t="inlineStr">
        <is>
          <t>Supports the lead routing idea: Website contact/phone</t>
        </is>
      </c>
      <c r="AE93" s="2" t="inlineStr">
        <is>
          <t>I was looking at your website and saw that your nationwide electrician network handles EV charger installs, including for Lowe's customers.</t>
        </is>
      </c>
      <c r="AF93" s="2" t="inlineStr">
        <is>
          <t>A lead routing idea for Qmerit</t>
        </is>
      </c>
      <c r="AG93" s="2" t="inlineStr">
        <is>
          <t>Hi Qmerit team,
I was looking at your website and saw that your nationwide electrician network handles EV charger installs, including for Lowe's customers.
I work with businesses on AI and workflow automation. For a solar company like Qmerit,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93" s="2" t="inlineStr">
        <is>
          <t>https://qmerit.com/</t>
        </is>
      </c>
      <c r="AI93" s="2" t="inlineStr">
        <is>
          <t>Nationwide network of licensed electricians for EV charging; Lowe's partner per summary.</t>
        </is>
      </c>
      <c r="AJ93" s="2" t="inlineStr">
        <is>
          <t>Company website</t>
        </is>
      </c>
      <c r="AK93" s="2" t="inlineStr">
        <is>
          <t>Medium</t>
        </is>
      </c>
      <c r="AL93" s="2" t="inlineStr">
        <is>
          <t>Reject</t>
        </is>
      </c>
      <c r="AM93" s="2" t="inlineStr">
        <is>
          <t>Not Sent</t>
        </is>
      </c>
      <c r="AN93" s="2" t="n"/>
      <c r="AO93" s="2" t="inlineStr">
        <is>
          <t>Batch 1 | No email found in searches. | No publicly verified business email found.</t>
        </is>
      </c>
    </row>
    <row r="94">
      <c r="A94" s="2" t="inlineStr"/>
      <c r="B94" s="2" t="inlineStr">
        <is>
          <t>Nationwide Sun</t>
        </is>
      </c>
      <c r="C94" s="2" t="inlineStr"/>
      <c r="D94" s="2" t="inlineStr"/>
      <c r="E94" s="2" t="inlineStr"/>
      <c r="F94" s="2" t="inlineStr">
        <is>
          <t>United States</t>
        </is>
      </c>
      <c r="G94" s="2" t="inlineStr"/>
      <c r="H94" s="2" t="inlineStr"/>
      <c r="I94" s="2" t="inlineStr">
        <is>
          <t>https://nationwidesun.com/</t>
        </is>
      </c>
      <c r="J94" s="2" t="inlineStr">
        <is>
          <t>Solar &amp; battery installer</t>
        </is>
      </c>
      <c r="K94" s="2" t="inlineStr">
        <is>
          <t>Solar, EV chargers</t>
        </is>
      </c>
      <c r="L94" s="2" t="inlineStr">
        <is>
          <t>Residential &amp; Commercial</t>
        </is>
      </c>
      <c r="M94" s="2" t="inlineStr">
        <is>
          <t>Unknown</t>
        </is>
      </c>
      <c r="N94" s="2" t="inlineStr">
        <is>
          <t>Unknown</t>
        </is>
      </c>
      <c r="O94" s="2" t="inlineStr">
        <is>
          <t>Unknown</t>
        </is>
      </c>
      <c r="P94" s="2" t="inlineStr">
        <is>
          <t>Unknown</t>
        </is>
      </c>
      <c r="Q94" s="2" t="inlineStr">
        <is>
          <t>Unknown</t>
        </is>
      </c>
      <c r="R94" s="2" t="inlineStr">
        <is>
          <t>Unknown</t>
        </is>
      </c>
      <c r="S94" s="2" t="inlineStr">
        <is>
          <t>Unknown</t>
        </is>
      </c>
      <c r="T94" s="2" t="inlineStr">
        <is>
          <t>Unknown</t>
        </is>
      </c>
      <c r="U94" s="2" t="inlineStr">
        <is>
          <t>Unknown</t>
        </is>
      </c>
      <c r="V94" s="2" t="inlineStr">
        <is>
          <t>Website</t>
        </is>
      </c>
      <c r="W94" s="2" t="inlineStr">
        <is>
          <t>None found</t>
        </is>
      </c>
      <c r="X94" s="2" t="inlineStr">
        <is>
          <t>None found</t>
        </is>
      </c>
      <c r="Y94" s="2" t="inlineStr">
        <is>
          <t>None found</t>
        </is>
      </c>
      <c r="Z94" s="2" t="inlineStr">
        <is>
          <t>Website contact/phone</t>
        </is>
      </c>
      <c r="AA94" s="2" t="inlineStr">
        <is>
          <t>Quote request automation</t>
        </is>
      </c>
      <c r="AB94" s="2" t="inlineStr">
        <is>
          <t>Low</t>
        </is>
      </c>
      <c r="AC94" s="2" t="inlineStr">
        <is>
          <t>You install and upgrade EV chargers for homes and businesses.</t>
        </is>
      </c>
      <c r="AD94" s="2" t="inlineStr">
        <is>
          <t>Supports the quote request automation idea: Website contact/phone</t>
        </is>
      </c>
      <c r="AE94" s="2" t="inlineStr">
        <is>
          <t>I came across Nationwide Sun and noticed you install and upgrade EV chargers for homes and businesses.</t>
        </is>
      </c>
      <c r="AF94" s="2" t="inlineStr">
        <is>
          <t>A solar quote workflow idea</t>
        </is>
      </c>
      <c r="AG94" s="2" t="inlineStr">
        <is>
          <t>Hi Nationwide Sun team,
I came across Nationwide Sun and noticed you install and upgrade EV chargers for homes and businesses.
I work with businesses on AI and workflow automation. For a solar company like Nationwide Sun,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94" s="2" t="inlineStr">
        <is>
          <t>https://nationwidesun.com/services/ev-charger/</t>
        </is>
      </c>
      <c r="AI94" s="2" t="inlineStr">
        <is>
          <t>EV charger service page.</t>
        </is>
      </c>
      <c r="AJ94" s="2" t="inlineStr">
        <is>
          <t>Company website</t>
        </is>
      </c>
      <c r="AK94" s="2" t="inlineStr">
        <is>
          <t>Medium</t>
        </is>
      </c>
      <c r="AL94" s="2" t="inlineStr">
        <is>
          <t>Reject</t>
        </is>
      </c>
      <c r="AM94" s="2" t="inlineStr">
        <is>
          <t>Not Sent</t>
        </is>
      </c>
      <c r="AN94" s="2" t="n"/>
      <c r="AO94" s="2" t="inlineStr">
        <is>
          <t>Batch 1 | No email found in searches. Location not verified. | No publicly verified business email found.</t>
        </is>
      </c>
    </row>
    <row r="95">
      <c r="A95" s="2" t="inlineStr"/>
      <c r="B95" s="2" t="inlineStr">
        <is>
          <t>EV Charging Installers of America</t>
        </is>
      </c>
      <c r="C95" s="2" t="inlineStr"/>
      <c r="D95" s="2" t="inlineStr"/>
      <c r="E95" s="2" t="inlineStr"/>
      <c r="F95" s="2" t="inlineStr">
        <is>
          <t>United States</t>
        </is>
      </c>
      <c r="G95" s="2" t="inlineStr"/>
      <c r="H95" s="2" t="inlineStr"/>
      <c r="I95" s="2" t="inlineStr">
        <is>
          <t>https://evcharginginstallers.com/</t>
        </is>
      </c>
      <c r="J95" s="2" t="inlineStr">
        <is>
          <t>EV charger &amp; solar installer</t>
        </is>
      </c>
      <c r="K95" s="2" t="inlineStr">
        <is>
          <t>EV charging, battery storage, solar PV, V2H/V2G backup</t>
        </is>
      </c>
      <c r="L95" s="2" t="inlineStr">
        <is>
          <t>Residential &amp; Commercial</t>
        </is>
      </c>
      <c r="M95" s="2" t="inlineStr">
        <is>
          <t>Unknown</t>
        </is>
      </c>
      <c r="N95" s="2" t="inlineStr">
        <is>
          <t>Unknown</t>
        </is>
      </c>
      <c r="O95" s="2" t="inlineStr">
        <is>
          <t>Unknown</t>
        </is>
      </c>
      <c r="P95" s="2" t="inlineStr">
        <is>
          <t>Unknown</t>
        </is>
      </c>
      <c r="Q95" s="2" t="inlineStr">
        <is>
          <t>Unknown</t>
        </is>
      </c>
      <c r="R95" s="2" t="inlineStr">
        <is>
          <t>Unknown</t>
        </is>
      </c>
      <c r="S95" s="2" t="inlineStr">
        <is>
          <t>Unknown</t>
        </is>
      </c>
      <c r="T95" s="2" t="inlineStr">
        <is>
          <t>Unknown</t>
        </is>
      </c>
      <c r="U95" s="2" t="inlineStr">
        <is>
          <t>Unknown</t>
        </is>
      </c>
      <c r="V95" s="2" t="inlineStr">
        <is>
          <t>Website</t>
        </is>
      </c>
      <c r="W95" s="2" t="inlineStr">
        <is>
          <t>None found</t>
        </is>
      </c>
      <c r="X95" s="2" t="inlineStr">
        <is>
          <t>None found</t>
        </is>
      </c>
      <c r="Y95" s="2" t="inlineStr">
        <is>
          <t>None found</t>
        </is>
      </c>
      <c r="Z95" s="2" t="inlineStr">
        <is>
          <t>Website contact/phone</t>
        </is>
      </c>
      <c r="AA95" s="2" t="inlineStr">
        <is>
          <t>Lead qualification chatbot</t>
        </is>
      </c>
      <c r="AB95" s="2" t="inlineStr">
        <is>
          <t>Low</t>
        </is>
      </c>
      <c r="AC95" s="2" t="inlineStr">
        <is>
          <t>You install EV charging, batteries and V2H backup power.</t>
        </is>
      </c>
      <c r="AD95" s="2" t="inlineStr">
        <is>
          <t>Supports the lead qualification chatbot idea: Website contact/phone</t>
        </is>
      </c>
      <c r="AE95" s="2" t="inlineStr">
        <is>
          <t>I noticed you install EV charging, batteries and V2H backup power.</t>
        </is>
      </c>
      <c r="AF95" s="2" t="inlineStr">
        <is>
          <t>A solar lead follow up idea</t>
        </is>
      </c>
      <c r="AG95" s="2" t="inlineStr">
        <is>
          <t>Hi EV Charging Installers of America team,
I noticed you install EV charging, batteries and V2H backup power.
I work with businesses on AI and workflow automation. For a solar company like EV Charging Installers of America,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95" s="2" t="inlineStr">
        <is>
          <t>https://evcharginginstallers.com/</t>
        </is>
      </c>
      <c r="AI95" s="2" t="inlineStr">
        <is>
          <t>Designs/installs EV charging, storage, solar, V2H/V2G per summary.</t>
        </is>
      </c>
      <c r="AJ95" s="2" t="inlineStr">
        <is>
          <t>Company website</t>
        </is>
      </c>
      <c r="AK95" s="2" t="inlineStr">
        <is>
          <t>Medium</t>
        </is>
      </c>
      <c r="AL95" s="2" t="inlineStr">
        <is>
          <t>Reject</t>
        </is>
      </c>
      <c r="AM95" s="2" t="inlineStr">
        <is>
          <t>Not Sent</t>
        </is>
      </c>
      <c r="AN95" s="2" t="n"/>
      <c r="AO95" s="2" t="inlineStr">
        <is>
          <t>Batch 1 | No email found in searches. | No publicly verified business email found.</t>
        </is>
      </c>
    </row>
    <row r="96">
      <c r="A96" s="2" t="inlineStr"/>
      <c r="B96" s="2" t="inlineStr">
        <is>
          <t>Solar Liberty</t>
        </is>
      </c>
      <c r="C96" s="2" t="inlineStr"/>
      <c r="D96" s="2" t="inlineStr"/>
      <c r="E96" s="2" t="inlineStr"/>
      <c r="F96" s="2" t="inlineStr">
        <is>
          <t>United States</t>
        </is>
      </c>
      <c r="G96" s="2" t="inlineStr">
        <is>
          <t>New York</t>
        </is>
      </c>
      <c r="H96" s="2" t="inlineStr"/>
      <c r="I96" s="2" t="inlineStr">
        <is>
          <t>https://solarliberty.com/</t>
        </is>
      </c>
      <c r="J96" s="2" t="inlineStr">
        <is>
          <t>Solar &amp; battery installer</t>
        </is>
      </c>
      <c r="K96" s="2" t="inlineStr">
        <is>
          <t>Solar PV, battery storage, EV chargers</t>
        </is>
      </c>
      <c r="L96" s="2" t="inlineStr">
        <is>
          <t>Residential &amp; Commercial</t>
        </is>
      </c>
      <c r="M96" s="2" t="inlineStr">
        <is>
          <t>Unknown</t>
        </is>
      </c>
      <c r="N96" s="2" t="inlineStr">
        <is>
          <t>NY, PA, OH</t>
        </is>
      </c>
      <c r="O96" s="2" t="inlineStr">
        <is>
          <t>Unknown</t>
        </is>
      </c>
      <c r="P96" s="2" t="inlineStr">
        <is>
          <t>Unknown</t>
        </is>
      </c>
      <c r="Q96" s="2" t="inlineStr">
        <is>
          <t>Unknown</t>
        </is>
      </c>
      <c r="R96" s="2" t="inlineStr">
        <is>
          <t>Unknown</t>
        </is>
      </c>
      <c r="S96" s="2" t="inlineStr">
        <is>
          <t>Unknown</t>
        </is>
      </c>
      <c r="T96" s="2" t="inlineStr">
        <is>
          <t>Unknown</t>
        </is>
      </c>
      <c r="U96" s="2" t="inlineStr">
        <is>
          <t>Unknown</t>
        </is>
      </c>
      <c r="V96" s="2" t="inlineStr">
        <is>
          <t>Website</t>
        </is>
      </c>
      <c r="W96" s="2" t="inlineStr">
        <is>
          <t>None found</t>
        </is>
      </c>
      <c r="X96" s="2" t="inlineStr">
        <is>
          <t>Three-state service area</t>
        </is>
      </c>
      <c r="Y96" s="2" t="inlineStr">
        <is>
          <t>None found</t>
        </is>
      </c>
      <c r="Z96" s="2" t="inlineStr">
        <is>
          <t>Website contact/phone</t>
        </is>
      </c>
      <c r="AA96" s="2" t="inlineStr">
        <is>
          <t>Lead routing</t>
        </is>
      </c>
      <c r="AB96" s="2" t="inlineStr">
        <is>
          <t>Medium</t>
        </is>
      </c>
      <c r="AC96" s="2" t="inlineStr">
        <is>
          <t>You install solar, batteries and EV chargers across NY, PA and OH.</t>
        </is>
      </c>
      <c r="AD96" s="2" t="inlineStr">
        <is>
          <t>Supports the lead routing idea: Website contact/phone</t>
        </is>
      </c>
      <c r="AE96" s="2" t="inlineStr">
        <is>
          <t>I was looking at your website and saw that you install solar, batteries and EV chargers across NY, PA and OH.</t>
        </is>
      </c>
      <c r="AF96" s="2" t="inlineStr">
        <is>
          <t>Routing solar enquiries at Solar Liberty</t>
        </is>
      </c>
      <c r="AG96" s="2" t="inlineStr">
        <is>
          <t>Hi Solar Liberty team,
I was looking at your website and saw that you install solar, batteries and EV chargers across NY, PA and OH.
I work with businesses on AI and workflow automation. For a solar company like Solar Liberty,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96" s="2" t="inlineStr">
        <is>
          <t>https://solarliberty.com/services/ev-chargers/</t>
        </is>
      </c>
      <c r="AI96" s="2" t="inlineStr">
        <is>
          <t>EV charger page 'NY, PA &amp; OH'; ~20 years experience; phone 866-807-3639.</t>
        </is>
      </c>
      <c r="AJ96" s="2" t="inlineStr">
        <is>
          <t>Company website</t>
        </is>
      </c>
      <c r="AK96" s="2" t="inlineStr">
        <is>
          <t>Medium</t>
        </is>
      </c>
      <c r="AL96" s="2" t="inlineStr">
        <is>
          <t>Reject</t>
        </is>
      </c>
      <c r="AM96" s="2" t="inlineStr">
        <is>
          <t>Not Sent</t>
        </is>
      </c>
      <c r="AN96" s="2" t="n"/>
      <c r="AO96" s="2" t="inlineStr">
        <is>
          <t>Batch 1 | No email found in searches. | No publicly verified business email found.</t>
        </is>
      </c>
    </row>
    <row r="97">
      <c r="A97" s="2" t="inlineStr"/>
      <c r="B97" s="2" t="inlineStr">
        <is>
          <t>Cromwell Solar</t>
        </is>
      </c>
      <c r="C97" s="2" t="inlineStr"/>
      <c r="D97" s="2" t="inlineStr"/>
      <c r="E97" s="2" t="inlineStr"/>
      <c r="F97" s="2" t="inlineStr">
        <is>
          <t>United States</t>
        </is>
      </c>
      <c r="G97" s="2" t="inlineStr"/>
      <c r="H97" s="2" t="inlineStr"/>
      <c r="I97" s="2" t="inlineStr">
        <is>
          <t>http://www.cromwellsolar.com/</t>
        </is>
      </c>
      <c r="J97" s="2" t="inlineStr">
        <is>
          <t>Solar &amp; battery installer</t>
        </is>
      </c>
      <c r="K97" s="2" t="inlineStr">
        <is>
          <t>Solar PV, EV charger installation</t>
        </is>
      </c>
      <c r="L97" s="2" t="inlineStr">
        <is>
          <t>Residential</t>
        </is>
      </c>
      <c r="M97" s="2" t="inlineStr">
        <is>
          <t>Unknown</t>
        </is>
      </c>
      <c r="N97" s="2" t="inlineStr">
        <is>
          <t>Kansas and Missouri</t>
        </is>
      </c>
      <c r="O97" s="2" t="inlineStr">
        <is>
          <t>Unknown</t>
        </is>
      </c>
      <c r="P97" s="2" t="inlineStr">
        <is>
          <t>Unknown</t>
        </is>
      </c>
      <c r="Q97" s="2" t="inlineStr">
        <is>
          <t>Unknown</t>
        </is>
      </c>
      <c r="R97" s="2" t="inlineStr">
        <is>
          <t>Unknown</t>
        </is>
      </c>
      <c r="S97" s="2" t="inlineStr">
        <is>
          <t>Unknown</t>
        </is>
      </c>
      <c r="T97" s="2" t="inlineStr">
        <is>
          <t>Unknown</t>
        </is>
      </c>
      <c r="U97" s="2" t="inlineStr">
        <is>
          <t>Unknown</t>
        </is>
      </c>
      <c r="V97" s="2" t="inlineStr">
        <is>
          <t>Website</t>
        </is>
      </c>
      <c r="W97" s="2" t="inlineStr">
        <is>
          <t>None found</t>
        </is>
      </c>
      <c r="X97" s="2" t="inlineStr">
        <is>
          <t>None found</t>
        </is>
      </c>
      <c r="Y97" s="2" t="inlineStr">
        <is>
          <t>None found</t>
        </is>
      </c>
      <c r="Z97" s="2" t="inlineStr">
        <is>
          <t>Website contact/phone</t>
        </is>
      </c>
      <c r="AA97" s="2" t="inlineStr">
        <is>
          <t>Quote request automation</t>
        </is>
      </c>
      <c r="AB97" s="2" t="inlineStr">
        <is>
          <t>Low</t>
        </is>
      </c>
      <c r="AC97" s="2" t="inlineStr">
        <is>
          <t>You install home EV chargers in Kansas and Missouri alongside solar.</t>
        </is>
      </c>
      <c r="AD97" s="2" t="inlineStr">
        <is>
          <t>Supports the quote request automation idea: Website contact/phone</t>
        </is>
      </c>
      <c r="AE97" s="2" t="inlineStr">
        <is>
          <t>I came across Cromwell Solar and noticed you install home EV chargers in Kansas and Missouri alongside solar.</t>
        </is>
      </c>
      <c r="AF97" s="2" t="inlineStr">
        <is>
          <t>Quote requests at Cromwell Solar</t>
        </is>
      </c>
      <c r="AG97" s="2" t="inlineStr">
        <is>
          <t>Hi Cromwell Solar team,
I came across Cromwell Solar and noticed you install home EV chargers in Kansas and Missouri alongside solar.
I work with businesses on AI and workflow automation. For a solar company like Cromwell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97" s="2" t="inlineStr">
        <is>
          <t>http://www.cromwellsolar.com/ev-charger-installation</t>
        </is>
      </c>
      <c r="AI97" s="2" t="inlineStr">
        <is>
          <t>EV charger installation page 'KS &amp; MO'.</t>
        </is>
      </c>
      <c r="AJ97" s="2" t="inlineStr">
        <is>
          <t>Company website</t>
        </is>
      </c>
      <c r="AK97" s="2" t="inlineStr">
        <is>
          <t>Medium</t>
        </is>
      </c>
      <c r="AL97" s="2" t="inlineStr">
        <is>
          <t>Reject</t>
        </is>
      </c>
      <c r="AM97" s="2" t="inlineStr">
        <is>
          <t>Not Sent</t>
        </is>
      </c>
      <c r="AN97" s="2" t="n"/>
      <c r="AO97" s="2" t="inlineStr">
        <is>
          <t>Batch 1 | No email found in searches. HQ state uncertain. | No publicly verified business email found.</t>
        </is>
      </c>
    </row>
    <row r="98">
      <c r="A98" s="2" t="inlineStr"/>
      <c r="B98" s="2" t="inlineStr">
        <is>
          <t>YES Solar Solutions</t>
        </is>
      </c>
      <c r="C98" s="2" t="inlineStr"/>
      <c r="D98" s="2" t="inlineStr"/>
      <c r="E98" s="2" t="inlineStr"/>
      <c r="F98" s="2" t="inlineStr">
        <is>
          <t>United States</t>
        </is>
      </c>
      <c r="G98" s="2" t="inlineStr">
        <is>
          <t>North Carolina</t>
        </is>
      </c>
      <c r="H98" s="2" t="inlineStr"/>
      <c r="I98" s="2" t="inlineStr">
        <is>
          <t>https://yessolarsolutions.com/</t>
        </is>
      </c>
      <c r="J98" s="2" t="inlineStr">
        <is>
          <t>Solar &amp; battery installer</t>
        </is>
      </c>
      <c r="K98" s="2" t="inlineStr">
        <is>
          <t>Solar PV, EV charging</t>
        </is>
      </c>
      <c r="L98" s="2" t="inlineStr">
        <is>
          <t>Residential &amp; Commercial</t>
        </is>
      </c>
      <c r="M98" s="2" t="inlineStr">
        <is>
          <t>Unknown</t>
        </is>
      </c>
      <c r="N98" s="2" t="inlineStr">
        <is>
          <t>North Carolina</t>
        </is>
      </c>
      <c r="O98" s="2" t="inlineStr">
        <is>
          <t>Unknown</t>
        </is>
      </c>
      <c r="P98" s="2" t="inlineStr">
        <is>
          <t>Unknown</t>
        </is>
      </c>
      <c r="Q98" s="2" t="inlineStr">
        <is>
          <t>Unknown</t>
        </is>
      </c>
      <c r="R98" s="2" t="inlineStr">
        <is>
          <t>Unknown</t>
        </is>
      </c>
      <c r="S98" s="2" t="inlineStr">
        <is>
          <t>Unknown</t>
        </is>
      </c>
      <c r="T98" s="2" t="inlineStr">
        <is>
          <t>Unknown</t>
        </is>
      </c>
      <c r="U98" s="2" t="inlineStr">
        <is>
          <t>Unknown</t>
        </is>
      </c>
      <c r="V98" s="2" t="inlineStr">
        <is>
          <t>Website</t>
        </is>
      </c>
      <c r="W98" s="2" t="inlineStr">
        <is>
          <t>None found</t>
        </is>
      </c>
      <c r="X98" s="2" t="inlineStr">
        <is>
          <t>None found</t>
        </is>
      </c>
      <c r="Y98" s="2" t="inlineStr">
        <is>
          <t>None found</t>
        </is>
      </c>
      <c r="Z98" s="2" t="inlineStr">
        <is>
          <t>Website contact/phone</t>
        </is>
      </c>
      <c r="AA98" s="2" t="inlineStr">
        <is>
          <t>Quote request automation</t>
        </is>
      </c>
      <c r="AB98" s="2" t="inlineStr">
        <is>
          <t>Low</t>
        </is>
      </c>
      <c r="AC98" s="2" t="inlineStr">
        <is>
          <t>You install residential and commercial EV chargers in North Carolina.</t>
        </is>
      </c>
      <c r="AD98" s="2" t="inlineStr">
        <is>
          <t>Supports the quote request automation idea: Website contact/phone</t>
        </is>
      </c>
      <c r="AE98" s="2" t="inlineStr">
        <is>
          <t>I noticed you install residential and commercial EV chargers in North Carolina.</t>
        </is>
      </c>
      <c r="AF98" s="2" t="inlineStr">
        <is>
          <t>A solar quote workflow idea</t>
        </is>
      </c>
      <c r="AG98" s="2" t="inlineStr">
        <is>
          <t>Hi YES Solar Solutions team,
I noticed you install residential and commercial EV chargers in North Carolina.
I work with businesses on AI and workflow automation. For a solar company like YES Solar Solutions,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98" s="2" t="inlineStr">
        <is>
          <t>https://yessolarsolutions.com/ev-chargers/</t>
        </is>
      </c>
      <c r="AI98" s="2" t="inlineStr">
        <is>
          <t>EV charging page 'Residential &amp; Commercial EV Charging Installation in NC'.</t>
        </is>
      </c>
      <c r="AJ98" s="2" t="inlineStr">
        <is>
          <t>Company website</t>
        </is>
      </c>
      <c r="AK98" s="2" t="inlineStr">
        <is>
          <t>Medium</t>
        </is>
      </c>
      <c r="AL98" s="2" t="inlineStr">
        <is>
          <t>Reject</t>
        </is>
      </c>
      <c r="AM98" s="2" t="inlineStr">
        <is>
          <t>Not Sent</t>
        </is>
      </c>
      <c r="AN98" s="2" t="n"/>
      <c r="AO98" s="2" t="inlineStr">
        <is>
          <t>Batch 1 | No email found in searches. | No publicly verified business email found.</t>
        </is>
      </c>
    </row>
    <row r="99">
      <c r="A99" s="2" t="inlineStr"/>
      <c r="B99" s="2" t="inlineStr">
        <is>
          <t>EnFin</t>
        </is>
      </c>
      <c r="C99" s="2" t="inlineStr"/>
      <c r="D99" s="2" t="inlineStr"/>
      <c r="E99" s="2" t="inlineStr"/>
      <c r="F99" s="2" t="inlineStr">
        <is>
          <t>United States</t>
        </is>
      </c>
      <c r="G99" s="2" t="inlineStr"/>
      <c r="H99" s="2" t="inlineStr"/>
      <c r="I99" s="2" t="inlineStr">
        <is>
          <t>https://www.enfin.com/</t>
        </is>
      </c>
      <c r="J99" s="2" t="inlineStr">
        <is>
          <t>Solar financing</t>
        </is>
      </c>
      <c r="K99" s="2" t="inlineStr">
        <is>
          <t>Solar leases and PPAs (TPO) for homeowners via installers</t>
        </is>
      </c>
      <c r="L99" s="2" t="inlineStr">
        <is>
          <t>Residential</t>
        </is>
      </c>
      <c r="M99" s="2" t="inlineStr">
        <is>
          <t>Unknown</t>
        </is>
      </c>
      <c r="N99" s="2" t="inlineStr">
        <is>
          <t>Unknown</t>
        </is>
      </c>
      <c r="O99" s="2" t="inlineStr">
        <is>
          <t>Unknown</t>
        </is>
      </c>
      <c r="P99" s="2" t="inlineStr">
        <is>
          <t>Unknown</t>
        </is>
      </c>
      <c r="Q99" s="2" t="inlineStr">
        <is>
          <t>Unknown</t>
        </is>
      </c>
      <c r="R99" s="2" t="inlineStr">
        <is>
          <t>Unknown</t>
        </is>
      </c>
      <c r="S99" s="2" t="inlineStr">
        <is>
          <t>Unknown</t>
        </is>
      </c>
      <c r="T99" s="2" t="inlineStr">
        <is>
          <t>Unknown</t>
        </is>
      </c>
      <c r="U99" s="2" t="inlineStr">
        <is>
          <t>Unknown</t>
        </is>
      </c>
      <c r="V99" s="2" t="inlineStr">
        <is>
          <t>Website</t>
        </is>
      </c>
      <c r="W99" s="2" t="inlineStr">
        <is>
          <t>None found</t>
        </is>
      </c>
      <c r="X99" s="2" t="inlineStr">
        <is>
          <t>None found</t>
        </is>
      </c>
      <c r="Y99" s="2" t="inlineStr">
        <is>
          <t>None found</t>
        </is>
      </c>
      <c r="Z99" s="2" t="inlineStr">
        <is>
          <t>Website contact/phone</t>
        </is>
      </c>
      <c r="AA99" s="2" t="inlineStr">
        <is>
          <t>CRM automation</t>
        </is>
      </c>
      <c r="AB99" s="2" t="inlineStr">
        <is>
          <t>Medium</t>
        </is>
      </c>
      <c r="AC99" s="2" t="inlineStr">
        <is>
          <t>You offer homeowners TPO options such as leases and PPAs.</t>
        </is>
      </c>
      <c r="AD99" s="2" t="inlineStr">
        <is>
          <t>Supports the crm automation idea: Website contact/phone</t>
        </is>
      </c>
      <c r="AE99" s="2" t="inlineStr">
        <is>
          <t>I was looking at your website and saw that you offer homeowners TPO options such as leases and PPAs.</t>
        </is>
      </c>
      <c r="AF99" s="2" t="inlineStr">
        <is>
          <t>A quick automation idea for EnFin</t>
        </is>
      </c>
      <c r="AG99" s="2" t="inlineStr">
        <is>
          <t>Hi EnFin team,
I was looking at your website and saw that you offer homeowners TPO options such as leases and PPAs.
I work with businesses on AI and workflow automation. For a solar company like EnFin, form enquiries, calls and emails could be logged in your CRM automatically, with each lead moved to the next stage and tasks created for the sales team.
Less manual data entry and a clearer view of where every lead stands.
Would it be useful if I showed you how this could work with your current setup?
Best,
[Sender Name]
AI Automation Specialist</t>
        </is>
      </c>
      <c r="AH99" s="2" t="inlineStr">
        <is>
          <t>https://www.enfin.com/</t>
        </is>
      </c>
      <c r="AI99" s="2" t="inlineStr">
        <is>
          <t>Offers TPO financing (leases, PPAs) per summary.</t>
        </is>
      </c>
      <c r="AJ99" s="2" t="inlineStr">
        <is>
          <t>Company website</t>
        </is>
      </c>
      <c r="AK99" s="2" t="inlineStr">
        <is>
          <t>Medium</t>
        </is>
      </c>
      <c r="AL99" s="2" t="inlineStr">
        <is>
          <t>Reject</t>
        </is>
      </c>
      <c r="AM99" s="2" t="inlineStr">
        <is>
          <t>Not Sent</t>
        </is>
      </c>
      <c r="AN99" s="2" t="n"/>
      <c r="AO99" s="2" t="inlineStr">
        <is>
          <t>Batch 1 | No email found in searches. | No publicly verified business email found.</t>
        </is>
      </c>
    </row>
    <row r="100">
      <c r="A100" s="2" t="inlineStr"/>
      <c r="B100" s="2" t="inlineStr">
        <is>
          <t>Atmos Financial</t>
        </is>
      </c>
      <c r="C100" s="2" t="inlineStr"/>
      <c r="D100" s="2" t="inlineStr"/>
      <c r="E100" s="2" t="inlineStr"/>
      <c r="F100" s="2" t="inlineStr">
        <is>
          <t>United States</t>
        </is>
      </c>
      <c r="G100" s="2" t="inlineStr"/>
      <c r="H100" s="2" t="inlineStr"/>
      <c r="I100" s="2" t="inlineStr">
        <is>
          <t>https://www.joinatmos.com/</t>
        </is>
      </c>
      <c r="J100" s="2" t="inlineStr">
        <is>
          <t>Solar financing</t>
        </is>
      </c>
      <c r="K100" s="2" t="inlineStr">
        <is>
          <t>Solar loans (no dealer fees)</t>
        </is>
      </c>
      <c r="L100" s="2" t="inlineStr">
        <is>
          <t>Residential</t>
        </is>
      </c>
      <c r="M100" s="2" t="inlineStr">
        <is>
          <t>Unknown</t>
        </is>
      </c>
      <c r="N100" s="2" t="inlineStr">
        <is>
          <t>National</t>
        </is>
      </c>
      <c r="O100" s="2" t="inlineStr">
        <is>
          <t>Unknown</t>
        </is>
      </c>
      <c r="P100" s="2" t="inlineStr">
        <is>
          <t>Unknown</t>
        </is>
      </c>
      <c r="Q100" s="2" t="inlineStr">
        <is>
          <t>Unknown</t>
        </is>
      </c>
      <c r="R100" s="2" t="inlineStr">
        <is>
          <t>Unknown</t>
        </is>
      </c>
      <c r="S100" s="2" t="inlineStr">
        <is>
          <t>Unknown</t>
        </is>
      </c>
      <c r="T100" s="2" t="inlineStr">
        <is>
          <t>Unknown</t>
        </is>
      </c>
      <c r="U100" s="2" t="inlineStr">
        <is>
          <t>Unknown</t>
        </is>
      </c>
      <c r="V100" s="2" t="inlineStr">
        <is>
          <t>Website</t>
        </is>
      </c>
      <c r="W100" s="2" t="inlineStr">
        <is>
          <t>None found</t>
        </is>
      </c>
      <c r="X100" s="2" t="inlineStr">
        <is>
          <t>None found</t>
        </is>
      </c>
      <c r="Y100" s="2" t="inlineStr">
        <is>
          <t>None found</t>
        </is>
      </c>
      <c r="Z100" s="2" t="inlineStr">
        <is>
          <t>Website contact/phone</t>
        </is>
      </c>
      <c r="AA100" s="2" t="inlineStr">
        <is>
          <t>Customer onboarding</t>
        </is>
      </c>
      <c r="AB100" s="2" t="inlineStr">
        <is>
          <t>Medium</t>
        </is>
      </c>
      <c r="AC100" s="2" t="inlineStr">
        <is>
          <t>Your solar loans are marketed with no dealer fees.</t>
        </is>
      </c>
      <c r="AD100" s="2" t="inlineStr">
        <is>
          <t>Supports the customer onboarding idea: Website contact/phone</t>
        </is>
      </c>
      <c r="AE100" s="2" t="inlineStr">
        <is>
          <t>I came across Atmos Financial and noticed your solar loans are marketed with no dealer fees.</t>
        </is>
      </c>
      <c r="AF100" s="2" t="inlineStr">
        <is>
          <t>Customer onboarding at Atmos Financial</t>
        </is>
      </c>
      <c r="AG100" s="2" t="inlineStr">
        <is>
          <t>Hi Atmos Financial team,
I came across Atmos Financial and noticed your solar loans are marketed with no dealer fees.
I work with businesses on AI and workflow automation. For a solar company like Atmos Financial, once a customer signs, a workflow could collect documents, send next steps for permits, grid or DNO applications and install dates, and keep them updated.
Fewer status calls and a smoother handover from sales to install.
Would it be useful if I showed you how this could work with your current setup?
Best,
[Sender Name]
AI Automation Specialist</t>
        </is>
      </c>
      <c r="AH100" s="2" t="inlineStr">
        <is>
          <t>https://www.joinatmos.com/solar-loans/</t>
        </is>
      </c>
      <c r="AI100" s="2" t="inlineStr">
        <is>
          <t>Solar loans page 'Low Rates, No Dealer Fees'.</t>
        </is>
      </c>
      <c r="AJ100" s="2" t="inlineStr">
        <is>
          <t>Company website</t>
        </is>
      </c>
      <c r="AK100" s="2" t="inlineStr">
        <is>
          <t>Medium</t>
        </is>
      </c>
      <c r="AL100" s="2" t="inlineStr">
        <is>
          <t>Reject</t>
        </is>
      </c>
      <c r="AM100" s="2" t="inlineStr">
        <is>
          <t>Not Sent</t>
        </is>
      </c>
      <c r="AN100" s="2" t="n"/>
      <c r="AO100" s="2" t="inlineStr">
        <is>
          <t>Batch 1 | No email found in searches. | No publicly verified business email found.</t>
        </is>
      </c>
    </row>
    <row r="101">
      <c r="A101" s="2" t="inlineStr"/>
      <c r="B101" s="2" t="inlineStr">
        <is>
          <t>Solar and Energy Loan Fund</t>
        </is>
      </c>
      <c r="C101" s="2" t="inlineStr"/>
      <c r="D101" s="2" t="inlineStr"/>
      <c r="E101" s="2" t="inlineStr"/>
      <c r="F101" s="2" t="inlineStr">
        <is>
          <t>United States</t>
        </is>
      </c>
      <c r="G101" s="2" t="inlineStr"/>
      <c r="H101" s="2" t="inlineStr"/>
      <c r="I101" s="2" t="inlineStr">
        <is>
          <t>https://solarenergyloanfund.org/</t>
        </is>
      </c>
      <c r="J101" s="2" t="inlineStr">
        <is>
          <t>Solar financing</t>
        </is>
      </c>
      <c r="K101" s="2" t="inlineStr">
        <is>
          <t>Solar and energy efficiency loans</t>
        </is>
      </c>
      <c r="L101" s="2" t="inlineStr">
        <is>
          <t>Residential</t>
        </is>
      </c>
      <c r="M101" s="2" t="inlineStr">
        <is>
          <t>Unknown</t>
        </is>
      </c>
      <c r="N101" s="2" t="inlineStr">
        <is>
          <t>Unknown</t>
        </is>
      </c>
      <c r="O101" s="2" t="inlineStr">
        <is>
          <t>Unknown</t>
        </is>
      </c>
      <c r="P101" s="2" t="inlineStr">
        <is>
          <t>Unknown</t>
        </is>
      </c>
      <c r="Q101" s="2" t="inlineStr">
        <is>
          <t>Unknown</t>
        </is>
      </c>
      <c r="R101" s="2" t="inlineStr">
        <is>
          <t>Unknown</t>
        </is>
      </c>
      <c r="S101" s="2" t="inlineStr">
        <is>
          <t>Unknown</t>
        </is>
      </c>
      <c r="T101" s="2" t="inlineStr">
        <is>
          <t>Unknown</t>
        </is>
      </c>
      <c r="U101" s="2" t="inlineStr">
        <is>
          <t>Unknown</t>
        </is>
      </c>
      <c r="V101" s="2" t="inlineStr">
        <is>
          <t>Website</t>
        </is>
      </c>
      <c r="W101" s="2" t="inlineStr">
        <is>
          <t>None found</t>
        </is>
      </c>
      <c r="X101" s="2" t="inlineStr">
        <is>
          <t>None found</t>
        </is>
      </c>
      <c r="Y101" s="2" t="inlineStr">
        <is>
          <t>None found</t>
        </is>
      </c>
      <c r="Z101" s="2" t="inlineStr">
        <is>
          <t>Website contact/phone</t>
        </is>
      </c>
      <c r="AA101" s="2" t="inlineStr">
        <is>
          <t>Document processing</t>
        </is>
      </c>
      <c r="AB101" s="2" t="inlineStr">
        <is>
          <t>Low</t>
        </is>
      </c>
      <c r="AC101" s="2" t="inlineStr">
        <is>
          <t>You provide loans for solar and energy improvements.</t>
        </is>
      </c>
      <c r="AD101" s="2" t="inlineStr">
        <is>
          <t>Supports the document processing idea: Website contact/phone</t>
        </is>
      </c>
      <c r="AE101" s="2" t="inlineStr">
        <is>
          <t>I noticed you provide loans for solar and energy improvements.</t>
        </is>
      </c>
      <c r="AF101" s="2" t="inlineStr">
        <is>
          <t>A document workflow idea for Solar and Energy Loan Fund</t>
        </is>
      </c>
      <c r="AG101" s="2" t="inlineStr">
        <is>
          <t>Hi Solar and Energy Loan Fund team,
I noticed you provide loans for solar and energy improvements.
I work with businesses on AI and workflow automation. For a solar company like Solar and Energy Loan Fund, documents like utility bills, finance applications and site survey forms could be read automatically and the key details sent into your system.
It removes a lot of manual checking and retyping.
Would it be useful if I showed you how this could work with your current setup?
Best,
[Sender Name]
AI Automation Specialist</t>
        </is>
      </c>
      <c r="AH101" s="2" t="inlineStr">
        <is>
          <t>https://solarenergyloanfund.org/</t>
        </is>
      </c>
      <c r="AI101" s="2" t="inlineStr">
        <is>
          <t>Homepage in solar loan search results.</t>
        </is>
      </c>
      <c r="AJ101" s="2" t="inlineStr">
        <is>
          <t>Company website</t>
        </is>
      </c>
      <c r="AK101" s="2" t="inlineStr">
        <is>
          <t>Medium</t>
        </is>
      </c>
      <c r="AL101" s="2" t="inlineStr">
        <is>
          <t>Reject</t>
        </is>
      </c>
      <c r="AM101" s="2" t="inlineStr">
        <is>
          <t>Not Sent</t>
        </is>
      </c>
      <c r="AN101" s="2" t="n"/>
      <c r="AO101" s="2" t="inlineStr">
        <is>
          <t>Batch 1 | No email found in searches. Nonprofit lender; state not verified. | No publicly verified business email found.</t>
        </is>
      </c>
    </row>
    <row r="102">
      <c r="A102" s="2" t="inlineStr"/>
      <c r="B102" s="2" t="inlineStr">
        <is>
          <t>Solar X Inc.</t>
        </is>
      </c>
      <c r="C102" s="2" t="inlineStr"/>
      <c r="D102" s="2" t="inlineStr"/>
      <c r="E102" s="2" t="inlineStr">
        <is>
          <t>info@solar-x.ca</t>
        </is>
      </c>
      <c r="F102" s="2" t="inlineStr">
        <is>
          <t>Canada</t>
        </is>
      </c>
      <c r="G102" s="2" t="inlineStr">
        <is>
          <t>Ontario</t>
        </is>
      </c>
      <c r="H102" s="2" t="inlineStr">
        <is>
          <t>Toronto</t>
        </is>
      </c>
      <c r="I102" s="2" t="inlineStr">
        <is>
          <t>https://solar-x.ca/</t>
        </is>
      </c>
      <c r="J102" s="2" t="inlineStr">
        <is>
          <t>Residential &amp; commercial solar installer</t>
        </is>
      </c>
      <c r="K102" s="2" t="inlineStr">
        <is>
          <t>Solar PV, battery storage</t>
        </is>
      </c>
      <c r="L102" s="2" t="inlineStr">
        <is>
          <t>Residential &amp; Commercial</t>
        </is>
      </c>
      <c r="M102" s="2" t="inlineStr">
        <is>
          <t>10,000+ projects completed, 118MW installed (per search summary)</t>
        </is>
      </c>
      <c r="N102" s="2" t="inlineStr">
        <is>
          <t>Ontario, Alberta, Nova Scotia, New Brunswick</t>
        </is>
      </c>
      <c r="O102" s="2" t="inlineStr">
        <is>
          <t>HQ 955 Bay St, Toronto; location pages incl. Calgary and New Brunswick</t>
        </is>
      </c>
      <c r="P102" s="2" t="inlineStr">
        <is>
          <t>Yes</t>
        </is>
      </c>
      <c r="Q102" s="2" t="inlineStr">
        <is>
          <t>Unknown</t>
        </is>
      </c>
      <c r="R102" s="2" t="inlineStr">
        <is>
          <t>Unknown</t>
        </is>
      </c>
      <c r="S102" s="2" t="inlineStr">
        <is>
          <t>Yes</t>
        </is>
      </c>
      <c r="T102" s="2" t="inlineStr">
        <is>
          <t>Unknown</t>
        </is>
      </c>
      <c r="U102" s="2" t="inlineStr">
        <is>
          <t>Phone + email</t>
        </is>
      </c>
      <c r="V102" s="2" t="inlineStr">
        <is>
          <t>Website quote form; phone (1-800-SOLAR-X); location/province landing pages; blog</t>
        </is>
      </c>
      <c r="W102" s="2" t="inlineStr">
        <is>
          <t>Province and city landing pages; commercial page; 'verify us' trust content</t>
        </is>
      </c>
      <c r="X102" s="2" t="inlineStr">
        <is>
          <t>Operates in 4 provinces; 10,000+ projects claimed</t>
        </is>
      </c>
      <c r="Y102" s="2" t="inlineStr">
        <is>
          <t>None found</t>
        </is>
      </c>
      <c r="Z102" s="2" t="inlineStr">
        <is>
          <t>Online free-quote form feeding a phone/email sales process across multiple provinces</t>
        </is>
      </c>
      <c r="AA102" s="2" t="inlineStr">
        <is>
          <t>Lead routing</t>
        </is>
      </c>
      <c r="AB102" s="2" t="inlineStr">
        <is>
          <t>High</t>
        </is>
      </c>
      <c r="AC102" s="2" t="inlineStr">
        <is>
          <t>Your contact page offers a free solar quote for Ontario homeowners.</t>
        </is>
      </c>
      <c r="AD102" s="2" t="inlineStr">
        <is>
          <t>Supports the lead routing idea: Online free-quote form feeding a phone/email sales process across multiple provinces</t>
        </is>
      </c>
      <c r="AE102" s="2" t="inlineStr">
        <is>
          <t>I was looking at your website and saw that your contact page offers a free solar quote for Ontario homeowners.</t>
        </is>
      </c>
      <c r="AF102" s="2" t="inlineStr">
        <is>
          <t>Routing solar enquiries at Solar X Inc.</t>
        </is>
      </c>
      <c r="AG102" s="2" t="inlineStr">
        <is>
          <t>Hi Solar X Inc. team,
I was looking at your website and saw that your contact page offers a free solar quote for Ontario homeowners.
I work with businesses on AI and workflow automation. For a solar company like Solar X Inc.,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02" s="2" t="inlineStr">
        <is>
          <t>https://solar-x.ca/contact</t>
        </is>
      </c>
      <c r="AI102" s="2" t="inlineStr">
        <is>
          <t>Contact page titled 'Free Solar Quote Ontario'; email info@solar-x.ca; pages for Calgary, New Brunswick, commercial; BBB A+ profile.</t>
        </is>
      </c>
      <c r="AJ102" s="2" t="inlineStr">
        <is>
          <t>Company website (contact page)</t>
        </is>
      </c>
      <c r="AK102" s="2" t="inlineStr">
        <is>
          <t>High</t>
        </is>
      </c>
      <c r="AL102" s="2" t="inlineStr">
        <is>
          <t>Ready</t>
        </is>
      </c>
      <c r="AM102" s="2" t="inlineStr">
        <is>
          <t>Not Sent</t>
        </is>
      </c>
      <c r="AN102" s="2" t="n"/>
      <c r="AO102" s="2" t="inlineStr">
        <is>
          <t>Batch 2 | Project/MW figures from search summary.</t>
        </is>
      </c>
    </row>
    <row r="103">
      <c r="A103" s="2" t="inlineStr"/>
      <c r="B103" s="2" t="inlineStr">
        <is>
          <t>Terawatt Solar</t>
        </is>
      </c>
      <c r="C103" s="2" t="inlineStr"/>
      <c r="D103" s="2" t="inlineStr"/>
      <c r="E103" s="2" t="inlineStr">
        <is>
          <t>info@terawattsolar.ca</t>
        </is>
      </c>
      <c r="F103" s="2" t="inlineStr">
        <is>
          <t>Canada</t>
        </is>
      </c>
      <c r="G103" s="2" t="inlineStr">
        <is>
          <t>Ontario</t>
        </is>
      </c>
      <c r="H103" s="2" t="inlineStr">
        <is>
          <t>Markham</t>
        </is>
      </c>
      <c r="I103" s="2" t="inlineStr">
        <is>
          <t>https://www.terawattsolar.ca/</t>
        </is>
      </c>
      <c r="J103" s="2" t="inlineStr">
        <is>
          <t>Residential &amp; commercial solar installer</t>
        </is>
      </c>
      <c r="K103" s="2" t="inlineStr">
        <is>
          <t>Rooftop solar PV, net metering</t>
        </is>
      </c>
      <c r="L103" s="2" t="inlineStr">
        <is>
          <t>Residential &amp; Commercial</t>
        </is>
      </c>
      <c r="M103" s="2" t="inlineStr">
        <is>
          <t>Unknown</t>
        </is>
      </c>
      <c r="N103" s="2" t="inlineStr">
        <is>
          <t>Ontario (GTA, Burlington, etc.)</t>
        </is>
      </c>
      <c r="O103" s="2" t="inlineStr">
        <is>
          <t>1 (Markham, ON)</t>
        </is>
      </c>
      <c r="P103" s="2" t="inlineStr">
        <is>
          <t>Yes</t>
        </is>
      </c>
      <c r="Q103" s="2" t="inlineStr">
        <is>
          <t>Unknown</t>
        </is>
      </c>
      <c r="R103" s="2" t="inlineStr">
        <is>
          <t>Unknown</t>
        </is>
      </c>
      <c r="S103" s="2" t="inlineStr">
        <is>
          <t>Unknown</t>
        </is>
      </c>
      <c r="T103" s="2" t="inlineStr">
        <is>
          <t>Unknown</t>
        </is>
      </c>
      <c r="U103" s="2" t="inlineStr">
        <is>
          <t>Phone + email</t>
        </is>
      </c>
      <c r="V103" s="2" t="inlineStr">
        <is>
          <t>Website; city landing pages (e.g. /burlington/); phone 877-648-3323; ProvenExpert reviews</t>
        </is>
      </c>
      <c r="W103" s="2" t="inlineStr">
        <is>
          <t>Solar Consultant staff listed on ZoomInfo</t>
        </is>
      </c>
      <c r="X103" s="2" t="inlineStr">
        <is>
          <t>City landing pages across Ontario</t>
        </is>
      </c>
      <c r="Y103" s="2" t="inlineStr">
        <is>
          <t>None found</t>
        </is>
      </c>
      <c r="Z103" s="2" t="inlineStr">
        <is>
          <t>Email inquiries answered within 24 hours per summary; phone during business hours</t>
        </is>
      </c>
      <c r="AA103" s="2" t="inlineStr">
        <is>
          <t>Missed lead recovery</t>
        </is>
      </c>
      <c r="AB103" s="2" t="inlineStr">
        <is>
          <t>Medium</t>
        </is>
      </c>
      <c r="AC103" s="2" t="inlineStr">
        <is>
          <t>Your team has a dedicated landing page for solar panels in Burlington.</t>
        </is>
      </c>
      <c r="AD103" s="2" t="inlineStr">
        <is>
          <t>Supports the missed lead recovery idea: Email inquiries answered within 24 hours per summary; phone during business hours</t>
        </is>
      </c>
      <c r="AE103" s="2" t="inlineStr">
        <is>
          <t>I came across Terawatt Solar and noticed your team has a dedicated landing page for solar panels in Burlington.</t>
        </is>
      </c>
      <c r="AF103" s="2" t="inlineStr">
        <is>
          <t>Solar lead follow up idea</t>
        </is>
      </c>
      <c r="AG103" s="2" t="inlineStr">
        <is>
          <t>Hi Terawatt Solar team,
I came across Terawatt Solar and noticed your team has a dedicated landing page for solar panels in Burlington.
I work with businesses on AI and workflow automation. For a solar company like Terawatt Solar,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103" s="2" t="inlineStr">
        <is>
          <t>https://www.terawattsolar.ca/contact-us/</t>
        </is>
      </c>
      <c r="AI103" s="2" t="inlineStr">
        <is>
          <t>Contact page; info@terawattsolar.ca; 7030 Woodbine Ave Markham; Burlington landing page.</t>
        </is>
      </c>
      <c r="AJ103" s="2" t="inlineStr">
        <is>
          <t>Company website (contact page)</t>
        </is>
      </c>
      <c r="AK103" s="2" t="inlineStr">
        <is>
          <t>High</t>
        </is>
      </c>
      <c r="AL103" s="2" t="inlineStr">
        <is>
          <t>Ready</t>
        </is>
      </c>
      <c r="AM103" s="2" t="inlineStr">
        <is>
          <t>Not Sent</t>
        </is>
      </c>
      <c r="AN103" s="2" t="n"/>
      <c r="AO103" s="2" t="inlineStr">
        <is>
          <t>Batch 2 | Quote option per first search summary ('free quote options').</t>
        </is>
      </c>
    </row>
    <row r="104">
      <c r="A104" s="2" t="inlineStr">
        <is>
          <t>Derek Power</t>
        </is>
      </c>
      <c r="B104" s="2" t="inlineStr">
        <is>
          <t>Solarinstallers.ca</t>
        </is>
      </c>
      <c r="C104" s="2" t="inlineStr">
        <is>
          <t>Derek</t>
        </is>
      </c>
      <c r="D104" s="2" t="inlineStr">
        <is>
          <t>President</t>
        </is>
      </c>
      <c r="E104" s="2" t="inlineStr">
        <is>
          <t>derek@solarinstallers.ca</t>
        </is>
      </c>
      <c r="F104" s="2" t="inlineStr">
        <is>
          <t>Canada</t>
        </is>
      </c>
      <c r="G104" s="2" t="inlineStr">
        <is>
          <t>Ontario</t>
        </is>
      </c>
      <c r="H104" s="2" t="inlineStr">
        <is>
          <t>Toronto</t>
        </is>
      </c>
      <c r="I104" s="2" t="inlineStr">
        <is>
          <t>https://solarinstallers.ca/</t>
        </is>
      </c>
      <c r="J104" s="2" t="inlineStr">
        <is>
          <t>Residential &amp; commercial solar installer</t>
        </is>
      </c>
      <c r="K104" s="2" t="inlineStr">
        <is>
          <t>Solar PV installation</t>
        </is>
      </c>
      <c r="L104" s="2" t="inlineStr">
        <is>
          <t>Residential &amp; Commercial</t>
        </is>
      </c>
      <c r="M104" s="2" t="inlineStr">
        <is>
          <t>Unknown</t>
        </is>
      </c>
      <c r="N104" s="2" t="inlineStr">
        <is>
          <t>Toronto / Ontario</t>
        </is>
      </c>
      <c r="O104" s="2" t="inlineStr">
        <is>
          <t>1 (Toronto, ON)</t>
        </is>
      </c>
      <c r="P104" s="2" t="inlineStr">
        <is>
          <t>Unknown</t>
        </is>
      </c>
      <c r="Q104" s="2" t="inlineStr">
        <is>
          <t>Unknown</t>
        </is>
      </c>
      <c r="R104" s="2" t="inlineStr">
        <is>
          <t>Unknown</t>
        </is>
      </c>
      <c r="S104" s="2" t="inlineStr">
        <is>
          <t>Unknown</t>
        </is>
      </c>
      <c r="T104" s="2" t="inlineStr">
        <is>
          <t>Unknown</t>
        </is>
      </c>
      <c r="U104" s="2" t="inlineStr">
        <is>
          <t>Phone + email</t>
        </is>
      </c>
      <c r="V104" s="2" t="inlineStr">
        <is>
          <t>Website contact page; phone (416) 564-2360</t>
        </is>
      </c>
      <c r="W104" s="2" t="inlineStr">
        <is>
          <t>Owner-led sales (President's email is the published contact)</t>
        </is>
      </c>
      <c r="X104" s="2" t="inlineStr">
        <is>
          <t>19 years experience; SolarTO and CanREA listed installer (per summary)</t>
        </is>
      </c>
      <c r="Y104" s="2" t="inlineStr">
        <is>
          <t>None found</t>
        </is>
      </c>
      <c r="Z104" s="2" t="inlineStr">
        <is>
          <t>Leads go directly to the President's inbox and phone</t>
        </is>
      </c>
      <c r="AA104" s="2" t="inlineStr">
        <is>
          <t>Lead qualification chatbot</t>
        </is>
      </c>
      <c r="AB104" s="2" t="inlineStr">
        <is>
          <t>Low</t>
        </is>
      </c>
      <c r="AC104" s="2" t="inlineStr">
        <is>
          <t>Your contact page lists your own email, so inquiries come straight to you.</t>
        </is>
      </c>
      <c r="AD104" s="2" t="inlineStr">
        <is>
          <t>Supports the lead qualification chatbot idea: Leads go directly to the President's inbox and phone</t>
        </is>
      </c>
      <c r="AE104" s="2" t="inlineStr">
        <is>
          <t>I noticed your contact page lists your own email, so inquiries come straight to you.</t>
        </is>
      </c>
      <c r="AF104" s="2" t="inlineStr">
        <is>
          <t>Qualifying solar enquiries at Solarinstallers.ca</t>
        </is>
      </c>
      <c r="AG104" s="2" t="inlineStr">
        <is>
          <t>Hi Derek,
I noticed your contact page lists your own email, so inquiries come straight to you.
I work with businesses on AI and workflow automation. For a solar company like Solarinstallers.ca,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04" s="2" t="inlineStr">
        <is>
          <t>https://solarinstallers.ca/contact-us/</t>
        </is>
      </c>
      <c r="AI104" s="2" t="inlineStr">
        <is>
          <t>Contact page lists derek@solarinstallers.ca and (416) 564-2360; LinkedIn/RocketReach show Derek Power as President.</t>
        </is>
      </c>
      <c r="AJ104" s="2" t="inlineStr">
        <is>
          <t>Company website (contact page)</t>
        </is>
      </c>
      <c r="AK104" s="2" t="inlineStr">
        <is>
          <t>High</t>
        </is>
      </c>
      <c r="AL104" s="2" t="inlineStr">
        <is>
          <t>Ready</t>
        </is>
      </c>
      <c r="AM104" s="2" t="inlineStr">
        <is>
          <t>Not Sent</t>
        </is>
      </c>
      <c r="AN104" s="2" t="n"/>
      <c r="AO104" s="2" t="inlineStr">
        <is>
          <t>Batch 2 | Title from LinkedIn/RocketReach listings.</t>
        </is>
      </c>
    </row>
    <row r="105">
      <c r="A105" s="2" t="inlineStr"/>
      <c r="B105" s="2" t="inlineStr">
        <is>
          <t>Vancouver Solar &amp; Electrical Ltd (V.S.E)</t>
        </is>
      </c>
      <c r="C105" s="2" t="inlineStr"/>
      <c r="D105" s="2" t="inlineStr"/>
      <c r="E105" s="2" t="inlineStr">
        <is>
          <t>info@vancouversolarpv.ca</t>
        </is>
      </c>
      <c r="F105" s="2" t="inlineStr">
        <is>
          <t>Canada</t>
        </is>
      </c>
      <c r="G105" s="2" t="inlineStr">
        <is>
          <t>British Columbia</t>
        </is>
      </c>
      <c r="H105" s="2" t="inlineStr">
        <is>
          <t>Burnaby</t>
        </is>
      </c>
      <c r="I105" s="2" t="inlineStr">
        <is>
          <t>https://www.vancouversolarpv.ca/</t>
        </is>
      </c>
      <c r="J105" s="2" t="inlineStr">
        <is>
          <t>Solar &amp; battery installer</t>
        </is>
      </c>
      <c r="K105" s="2" t="inlineStr">
        <is>
          <t>Residential &amp; commercial solar PV, Tesla Powerwall, FranklinWH, Enphase/SolarEdge batteries, solar design permits</t>
        </is>
      </c>
      <c r="L105" s="2" t="inlineStr">
        <is>
          <t>Residential &amp; Commercial</t>
        </is>
      </c>
      <c r="M105" s="2" t="inlineStr">
        <is>
          <t>Unknown</t>
        </is>
      </c>
      <c r="N105" s="2" t="inlineStr">
        <is>
          <t>Lower Mainland and Fraser Valley, BC</t>
        </is>
      </c>
      <c r="O105" s="2" t="inlineStr">
        <is>
          <t>1 (Burnaby, BC)</t>
        </is>
      </c>
      <c r="P105" s="2" t="inlineStr">
        <is>
          <t>Yes</t>
        </is>
      </c>
      <c r="Q105" s="2" t="inlineStr">
        <is>
          <t>Unknown</t>
        </is>
      </c>
      <c r="R105" s="2" t="inlineStr">
        <is>
          <t>Unknown</t>
        </is>
      </c>
      <c r="S105" s="2" t="inlineStr">
        <is>
          <t>Unknown</t>
        </is>
      </c>
      <c r="T105" s="2" t="inlineStr">
        <is>
          <t>Unknown</t>
        </is>
      </c>
      <c r="U105" s="2" t="inlineStr">
        <is>
          <t>Phone + email</t>
        </is>
      </c>
      <c r="V105" s="2" t="inlineStr">
        <is>
          <t>Website free-quote contact page; case-study pages; Facebook</t>
        </is>
      </c>
      <c r="W105" s="2" t="inlineStr">
        <is>
          <t>Many project case-study pages (Richmond, North Vancouver, YVR)</t>
        </is>
      </c>
      <c r="X105" s="2" t="inlineStr">
        <is>
          <t>Numerous residential and commercial case studies</t>
        </is>
      </c>
      <c r="Y105" s="2" t="inlineStr">
        <is>
          <t>Rebate/grant (BC Hydro, Greener Homes loan) guidance implies multi-step process</t>
        </is>
      </c>
      <c r="Z105" s="2" t="inlineStr">
        <is>
          <t>Free quote form plus manual rebate/permit paperwork</t>
        </is>
      </c>
      <c r="AA105" s="2" t="inlineStr">
        <is>
          <t>Quote follow up</t>
        </is>
      </c>
      <c r="AB105" s="2" t="inlineStr">
        <is>
          <t>Medium</t>
        </is>
      </c>
      <c r="AC105" s="2" t="inlineStr">
        <is>
          <t>Your site highlights free quotes and BC Hydro rebate support.</t>
        </is>
      </c>
      <c r="AD105" s="2" t="inlineStr">
        <is>
          <t>Supports the quote follow up idea: Free quote form plus manual rebate/permit paperwork</t>
        </is>
      </c>
      <c r="AE105" s="2" t="inlineStr">
        <is>
          <t>I noticed your site highlights free quotes and BC Hydro rebate support.</t>
        </is>
      </c>
      <c r="AF105" s="2" t="inlineStr">
        <is>
          <t>A solar quote follow up idea</t>
        </is>
      </c>
      <c r="AG105" s="2" t="inlineStr">
        <is>
          <t>Hi Vancouver Solar &amp; Electrical Ltd (V.S.E) team,
I noticed your site highlights free quotes and BC Hydro rebate support.
I work with businesses on AI and workflow automation. For a solar company like Vancouver Solar &amp; Electrical Ltd (V.S.E), after a quote goes out, a short sequence could check in by email or SMS, answer common questions and alert the salesperson when someone replies or opens it again.
Fewer quotes go quiet just because nobody had time to follow up.
Would it be useful if I showed you how this could work with your current setup?
Best,
[Sender Name]
AI Automation Specialist</t>
        </is>
      </c>
      <c r="AH105" s="2" t="inlineStr">
        <is>
          <t>https://www.vancouversolarpv.ca/contact</t>
        </is>
      </c>
      <c r="AI105" s="2" t="inlineStr">
        <is>
          <t>Contact page titled 'Free Quote Home Business'; info@vancouversolarpv.ca; battery brands listed in homepage title.</t>
        </is>
      </c>
      <c r="AJ105" s="2" t="inlineStr">
        <is>
          <t>Company website (contact page)</t>
        </is>
      </c>
      <c r="AK105" s="2" t="inlineStr">
        <is>
          <t>High</t>
        </is>
      </c>
      <c r="AL105" s="2" t="inlineStr">
        <is>
          <t>Ready</t>
        </is>
      </c>
      <c r="AM105" s="2" t="inlineStr">
        <is>
          <t>Not Sent</t>
        </is>
      </c>
      <c r="AN105" s="2" t="n"/>
      <c r="AO105" s="2" t="inlineStr">
        <is>
          <t>Batch 2</t>
        </is>
      </c>
    </row>
    <row r="106">
      <c r="A106" s="2" t="inlineStr"/>
      <c r="B106" s="2" t="inlineStr">
        <is>
          <t>Solar Ascent</t>
        </is>
      </c>
      <c r="C106" s="2" t="inlineStr"/>
      <c r="D106" s="2" t="inlineStr"/>
      <c r="E106" s="2" t="inlineStr">
        <is>
          <t>info@solarascent.ca</t>
        </is>
      </c>
      <c r="F106" s="2" t="inlineStr">
        <is>
          <t>Canada</t>
        </is>
      </c>
      <c r="G106" s="2" t="inlineStr">
        <is>
          <t>Nova Scotia</t>
        </is>
      </c>
      <c r="H106" s="2" t="inlineStr">
        <is>
          <t>Hammonds Plains</t>
        </is>
      </c>
      <c r="I106" s="2" t="inlineStr">
        <is>
          <t>https://solarascent.ca/</t>
        </is>
      </c>
      <c r="J106" s="2" t="inlineStr">
        <is>
          <t>Residential &amp; commercial solar installer</t>
        </is>
      </c>
      <c r="K106" s="2" t="inlineStr">
        <is>
          <t>Solar PV design and installation, financing and rebate assistance</t>
        </is>
      </c>
      <c r="L106" s="2" t="inlineStr">
        <is>
          <t>Residential &amp; Commercial</t>
        </is>
      </c>
      <c r="M106" s="2" t="inlineStr">
        <is>
          <t>Unknown</t>
        </is>
      </c>
      <c r="N106" s="2" t="inlineStr">
        <is>
          <t>Atlantic Canada</t>
        </is>
      </c>
      <c r="O106" s="2" t="inlineStr">
        <is>
          <t>1 (Hammonds Plains, NS)</t>
        </is>
      </c>
      <c r="P106" s="2" t="inlineStr">
        <is>
          <t>Unknown</t>
        </is>
      </c>
      <c r="Q106" s="2" t="inlineStr">
        <is>
          <t>Unknown</t>
        </is>
      </c>
      <c r="R106" s="2" t="inlineStr">
        <is>
          <t>Unknown</t>
        </is>
      </c>
      <c r="S106" s="2" t="inlineStr">
        <is>
          <t>Unknown</t>
        </is>
      </c>
      <c r="T106" s="2" t="inlineStr">
        <is>
          <t>Unknown</t>
        </is>
      </c>
      <c r="U106" s="2" t="inlineStr">
        <is>
          <t>Phone + email</t>
        </is>
      </c>
      <c r="V106" s="2" t="inlineStr">
        <is>
          <t>Website; case studies; blog/podcast; Facebook</t>
        </is>
      </c>
      <c r="W106" s="2" t="inlineStr">
        <is>
          <t>Commercial services page; case studies</t>
        </is>
      </c>
      <c r="X106" s="2" t="inlineStr">
        <is>
          <t>None found</t>
        </is>
      </c>
      <c r="Y106" s="2" t="inlineStr">
        <is>
          <t>Financing and rebate assistance</t>
        </is>
      </c>
      <c r="Z106" s="2" t="inlineStr">
        <is>
          <t>Contact form/email then manual rebate and financing help</t>
        </is>
      </c>
      <c r="AA106" s="2" t="inlineStr">
        <is>
          <t>Document processing</t>
        </is>
      </c>
      <c r="AB106" s="2" t="inlineStr">
        <is>
          <t>Medium</t>
        </is>
      </c>
      <c r="AC106" s="2" t="inlineStr">
        <is>
          <t>Your site has a dedicated rebates page for Nova Scotia customers.</t>
        </is>
      </c>
      <c r="AD106" s="2" t="inlineStr">
        <is>
          <t>Supports the document processing idea: Contact form/email then manual rebate and financing help</t>
        </is>
      </c>
      <c r="AE106" s="2" t="inlineStr">
        <is>
          <t>I came across Solar Ascent and noticed your site has a dedicated rebates page for Nova Scotia customers.</t>
        </is>
      </c>
      <c r="AF106" s="2" t="inlineStr">
        <is>
          <t>Solar paperwork at Solar Ascent</t>
        </is>
      </c>
      <c r="AG106" s="2" t="inlineStr">
        <is>
          <t>Hi Solar Ascent team,
I came across Solar Ascent and noticed your site has a dedicated rebates page for Nova Scotia customers.
I work with businesses on AI and workflow automation. For a solar company like Solar Ascent, documents like utility bills, finance applications and site survey forms could be read automatically and the key details sent into your system.
It removes a lot of manual checking and retyping.
Would it be useful if I showed you how this could work with your current setup?
Best,
[Sender Name]
AI Automation Specialist</t>
        </is>
      </c>
      <c r="AH106" s="2" t="inlineStr">
        <is>
          <t>https://solarascent.ca/contact-us/</t>
        </is>
      </c>
      <c r="AI106" s="2" t="inlineStr">
        <is>
          <t>Contact page; info@solarascent.ca; /rebates/, /commercial-services/, /case-studies/ pages.</t>
        </is>
      </c>
      <c r="AJ106" s="2" t="inlineStr">
        <is>
          <t>Company website (contact page)</t>
        </is>
      </c>
      <c r="AK106" s="2" t="inlineStr">
        <is>
          <t>High</t>
        </is>
      </c>
      <c r="AL106" s="2" t="inlineStr">
        <is>
          <t>Ready</t>
        </is>
      </c>
      <c r="AM106" s="2" t="inlineStr">
        <is>
          <t>Not Sent</t>
        </is>
      </c>
      <c r="AN106" s="2" t="n"/>
      <c r="AO106" s="2" t="inlineStr">
        <is>
          <t>Batch 2 | John Jennex featured in blog interview but role not confirmed.</t>
        </is>
      </c>
    </row>
    <row r="107">
      <c r="A107" s="2" t="inlineStr"/>
      <c r="B107" s="2" t="inlineStr">
        <is>
          <t>Orizon Energy Ltd.</t>
        </is>
      </c>
      <c r="C107" s="2" t="inlineStr"/>
      <c r="D107" s="2" t="inlineStr"/>
      <c r="E107" s="2" t="inlineStr">
        <is>
          <t>general@orizonenergy.ca</t>
        </is>
      </c>
      <c r="F107" s="2" t="inlineStr">
        <is>
          <t>Canada</t>
        </is>
      </c>
      <c r="G107" s="2" t="inlineStr">
        <is>
          <t>Alberta</t>
        </is>
      </c>
      <c r="H107" s="2" t="inlineStr">
        <is>
          <t>Edmonton</t>
        </is>
      </c>
      <c r="I107" s="2" t="inlineStr">
        <is>
          <t>https://www.orizonenergy.ca/</t>
        </is>
      </c>
      <c r="J107" s="2" t="inlineStr">
        <is>
          <t>Solar &amp; battery installer</t>
        </is>
      </c>
      <c r="K107" s="2" t="inlineStr">
        <is>
          <t>Residential solar, commercial solar, battery backup, smart energy upgrades</t>
        </is>
      </c>
      <c r="L107" s="2" t="inlineStr">
        <is>
          <t>Residential &amp; Commercial</t>
        </is>
      </c>
      <c r="M107" s="2" t="inlineStr">
        <is>
          <t>Unknown</t>
        </is>
      </c>
      <c r="N107" s="2" t="inlineStr">
        <is>
          <t>Alberta and Manitoba</t>
        </is>
      </c>
      <c r="O107" s="2" t="inlineStr">
        <is>
          <t>3 offices: Edmonton, Calgary, Winnipeg</t>
        </is>
      </c>
      <c r="P107" s="2" t="inlineStr">
        <is>
          <t>Unknown</t>
        </is>
      </c>
      <c r="Q107" s="2" t="inlineStr">
        <is>
          <t>Unknown</t>
        </is>
      </c>
      <c r="R107" s="2" t="inlineStr">
        <is>
          <t>Unknown</t>
        </is>
      </c>
      <c r="S107" s="2" t="inlineStr">
        <is>
          <t>Unknown</t>
        </is>
      </c>
      <c r="T107" s="2" t="inlineStr">
        <is>
          <t>Unknown</t>
        </is>
      </c>
      <c r="U107" s="2" t="inlineStr">
        <is>
          <t>Tech support email + phone line</t>
        </is>
      </c>
      <c r="V107" s="2" t="inlineStr">
        <is>
          <t>Website; referral program; Facebook</t>
        </is>
      </c>
      <c r="W107" s="2" t="inlineStr">
        <is>
          <t>'Verify an Orizon Energy Representative' page implies field sales reps</t>
        </is>
      </c>
      <c r="X107" s="2" t="inlineStr">
        <is>
          <t>3 offices; referral program; careers page</t>
        </is>
      </c>
      <c r="Y107" s="2" t="inlineStr">
        <is>
          <t>Referral program</t>
        </is>
      </c>
      <c r="Z107" s="2" t="inlineStr">
        <is>
          <t>Field reps plus referral page; separate tech support inbox</t>
        </is>
      </c>
      <c r="AA107" s="2" t="inlineStr">
        <is>
          <t>Lead routing</t>
        </is>
      </c>
      <c r="AB107" s="2" t="inlineStr">
        <is>
          <t>High</t>
        </is>
      </c>
      <c r="AC107" s="2" t="inlineStr">
        <is>
          <t>Your site has a page for customers to verify an Orizon Energy representative.</t>
        </is>
      </c>
      <c r="AD107" s="2" t="inlineStr">
        <is>
          <t>Supports the lead routing idea: Field reps plus referral page; separate tech support inbox</t>
        </is>
      </c>
      <c r="AE107" s="2" t="inlineStr">
        <is>
          <t>I noticed your site has a page for customers to verify an Orizon Energy representative.</t>
        </is>
      </c>
      <c r="AF107" s="2" t="inlineStr">
        <is>
          <t>A lead routing idea for Orizon Energy Ltd.</t>
        </is>
      </c>
      <c r="AG107" s="2" t="inlineStr">
        <is>
          <t>Hi Orizon Energy Ltd. team,
I noticed your site has a page for customers to verify an Orizon Energy representative.
I work with businesses on AI and workflow automation. For a solar company like Orizon Energy Ltd.,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07" s="2" t="inlineStr">
        <is>
          <t>https://www.orizonenergy.ca/contact</t>
        </is>
      </c>
      <c r="AI107" s="2" t="inlineStr">
        <is>
          <t>Contact page lists general@orizonenergy.ca and Techsupport@; /referral, /verify, /jobs pages; offices Edmonton, Calgary, Winnipeg.</t>
        </is>
      </c>
      <c r="AJ107" s="2" t="inlineStr">
        <is>
          <t>Company website (contact page)</t>
        </is>
      </c>
      <c r="AK107" s="2" t="inlineStr">
        <is>
          <t>High</t>
        </is>
      </c>
      <c r="AL107" s="2" t="inlineStr">
        <is>
          <t>Ready</t>
        </is>
      </c>
      <c r="AM107" s="2" t="inlineStr">
        <is>
          <t>Not Sent</t>
        </is>
      </c>
      <c r="AN107" s="2" t="n"/>
      <c r="AO107" s="2" t="inlineStr">
        <is>
          <t>Batch 2 | Oren Zamir listed as owner on RocketReach only; not included.</t>
        </is>
      </c>
    </row>
    <row r="108">
      <c r="A108" s="2" t="inlineStr"/>
      <c r="B108" s="2" t="inlineStr">
        <is>
          <t>Evalence Renewables</t>
        </is>
      </c>
      <c r="C108" s="2" t="inlineStr"/>
      <c r="D108" s="2" t="inlineStr"/>
      <c r="E108" s="2" t="inlineStr">
        <is>
          <t>info@evalence.ca</t>
        </is>
      </c>
      <c r="F108" s="2" t="inlineStr">
        <is>
          <t>Canada</t>
        </is>
      </c>
      <c r="G108" s="2" t="inlineStr">
        <is>
          <t>Alberta</t>
        </is>
      </c>
      <c r="H108" s="2" t="inlineStr">
        <is>
          <t>Calgary</t>
        </is>
      </c>
      <c r="I108" s="2" t="inlineStr">
        <is>
          <t>https://www.evalence.ca/</t>
        </is>
      </c>
      <c r="J108" s="2" t="inlineStr">
        <is>
          <t>Residential &amp; commercial solar installer</t>
        </is>
      </c>
      <c r="K108" s="2" t="inlineStr">
        <is>
          <t>Solar PV, EV charging, battery storage</t>
        </is>
      </c>
      <c r="L108" s="2" t="inlineStr">
        <is>
          <t>Residential &amp; Commercial</t>
        </is>
      </c>
      <c r="M108" s="2" t="inlineStr">
        <is>
          <t>Unknown</t>
        </is>
      </c>
      <c r="N108" s="2" t="inlineStr">
        <is>
          <t>Calgary, Edmonton and surrounding Alberta</t>
        </is>
      </c>
      <c r="O108" s="2" t="inlineStr">
        <is>
          <t>2 (Calgary, Edmonton)</t>
        </is>
      </c>
      <c r="P108" s="2" t="inlineStr">
        <is>
          <t>Unknown</t>
        </is>
      </c>
      <c r="Q108" s="2" t="inlineStr">
        <is>
          <t>Unknown</t>
        </is>
      </c>
      <c r="R108" s="2" t="inlineStr">
        <is>
          <t>Unknown</t>
        </is>
      </c>
      <c r="S108" s="2" t="inlineStr">
        <is>
          <t>Unknown</t>
        </is>
      </c>
      <c r="T108" s="2" t="inlineStr">
        <is>
          <t>Unknown</t>
        </is>
      </c>
      <c r="U108" s="2" t="inlineStr">
        <is>
          <t>Phone + email</t>
        </is>
      </c>
      <c r="V108" s="2" t="inlineStr">
        <is>
          <t>Website; city pages; grants/incentives page; Yelp; Facebook</t>
        </is>
      </c>
      <c r="W108" s="2" t="inlineStr">
        <is>
          <t>None found</t>
        </is>
      </c>
      <c r="X108" s="2" t="inlineStr">
        <is>
          <t>Offices in Calgary and Edmonton</t>
        </is>
      </c>
      <c r="Y108" s="2" t="inlineStr">
        <is>
          <t>Grants &amp; incentives guidance</t>
        </is>
      </c>
      <c r="Z108" s="2" t="inlineStr">
        <is>
          <t>Multiple inboxes (hello@, info@, inquiries@) handled manually</t>
        </is>
      </c>
      <c r="AA108" s="2" t="inlineStr">
        <is>
          <t>Lead routing</t>
        </is>
      </c>
      <c r="AB108" s="2" t="inlineStr">
        <is>
          <t>Medium</t>
        </is>
      </c>
      <c r="AC108" s="2" t="inlineStr">
        <is>
          <t>Your site has separate pages for Calgary and Edmonton customers.</t>
        </is>
      </c>
      <c r="AD108" s="2" t="inlineStr">
        <is>
          <t>Supports the lead routing idea: Multiple inboxes (hello@, info@, inquiries@) handled manually</t>
        </is>
      </c>
      <c r="AE108" s="2" t="inlineStr">
        <is>
          <t>I noticed your site has separate pages for Calgary and Edmonton customers.</t>
        </is>
      </c>
      <c r="AF108" s="2" t="inlineStr">
        <is>
          <t>Routing solar enquiries at Evalence Renewables</t>
        </is>
      </c>
      <c r="AG108" s="2" t="inlineStr">
        <is>
          <t>Hi Evalence Renewables team,
I noticed your site has separate pages for Calgary and Edmonton customers.
I work with businesses on AI and workflow automation. For a solar company like Evalence Renewables,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08" s="2" t="inlineStr">
        <is>
          <t>https://www.evalence.ca/contact</t>
        </is>
      </c>
      <c r="AI108" s="2" t="inlineStr">
        <is>
          <t>info@evalence.ca; /calgary, /edmonton, /grants-incentives, /commercial-solar pages; 5723 10 St NE Calgary.</t>
        </is>
      </c>
      <c r="AJ108" s="2" t="inlineStr">
        <is>
          <t>Company website (contact page)</t>
        </is>
      </c>
      <c r="AK108" s="2" t="inlineStr">
        <is>
          <t>High</t>
        </is>
      </c>
      <c r="AL108" s="2" t="inlineStr">
        <is>
          <t>Ready</t>
        </is>
      </c>
      <c r="AM108" s="2" t="inlineStr">
        <is>
          <t>Not Sent</t>
        </is>
      </c>
      <c r="AN108" s="2" t="n"/>
      <c r="AO108" s="2" t="inlineStr">
        <is>
          <t>Batch 2 | Founders named only as Tyler and Nick in summary; surnames unknown.</t>
        </is>
      </c>
    </row>
    <row r="109">
      <c r="A109" s="2" t="inlineStr"/>
      <c r="B109" s="2" t="inlineStr">
        <is>
          <t>EVOLVsolar</t>
        </is>
      </c>
      <c r="C109" s="2" t="inlineStr"/>
      <c r="D109" s="2" t="inlineStr"/>
      <c r="E109" s="2" t="inlineStr">
        <is>
          <t>hello@evolvsolar.com</t>
        </is>
      </c>
      <c r="F109" s="2" t="inlineStr">
        <is>
          <t>Canada</t>
        </is>
      </c>
      <c r="G109" s="2" t="inlineStr">
        <is>
          <t>Alberta</t>
        </is>
      </c>
      <c r="H109" s="2" t="inlineStr">
        <is>
          <t>Calgary</t>
        </is>
      </c>
      <c r="I109" s="2" t="inlineStr">
        <is>
          <t>https://evolvsolar.com/</t>
        </is>
      </c>
      <c r="J109" s="2" t="inlineStr">
        <is>
          <t>Residential &amp; commercial solar installer</t>
        </is>
      </c>
      <c r="K109" s="2" t="inlineStr">
        <is>
          <t>Solar PV design, engineering and installation</t>
        </is>
      </c>
      <c r="L109" s="2" t="inlineStr">
        <is>
          <t>Residential, Commercial &amp; Agricultural</t>
        </is>
      </c>
      <c r="M109" s="2" t="inlineStr">
        <is>
          <t>Unknown</t>
        </is>
      </c>
      <c r="N109" s="2" t="inlineStr">
        <is>
          <t>Western Canada (Alberta, Saskatchewan)</t>
        </is>
      </c>
      <c r="O109" s="2" t="inlineStr">
        <is>
          <t>2 (Calgary; Edmonton office opened 2023)</t>
        </is>
      </c>
      <c r="P109" s="2" t="inlineStr">
        <is>
          <t>Unknown</t>
        </is>
      </c>
      <c r="Q109" s="2" t="inlineStr">
        <is>
          <t>Unknown</t>
        </is>
      </c>
      <c r="R109" s="2" t="inlineStr">
        <is>
          <t>Unknown</t>
        </is>
      </c>
      <c r="S109" s="2" t="inlineStr">
        <is>
          <t>Unknown</t>
        </is>
      </c>
      <c r="T109" s="2" t="inlineStr">
        <is>
          <t>Unknown</t>
        </is>
      </c>
      <c r="U109" s="2" t="inlineStr">
        <is>
          <t>Phone + email</t>
        </is>
      </c>
      <c r="V109" s="2" t="inlineStr">
        <is>
          <t>Website; city/province landing pages; YouTube; ProvenExpert</t>
        </is>
      </c>
      <c r="W109" s="2" t="inlineStr">
        <is>
          <t>Operations manager and VP Operations on staff listings</t>
        </is>
      </c>
      <c r="X109" s="2" t="inlineStr">
        <is>
          <t>Offices in Calgary and Edmonton; Saskatchewan landing page</t>
        </is>
      </c>
      <c r="Y109" s="2" t="inlineStr">
        <is>
          <t>None found</t>
        </is>
      </c>
      <c r="Z109" s="2" t="inlineStr">
        <is>
          <t>Contact form + phone (1-844-276-4004) during office hours</t>
        </is>
      </c>
      <c r="AA109" s="2" t="inlineStr">
        <is>
          <t>Appointment booking automation</t>
        </is>
      </c>
      <c r="AB109" s="2" t="inlineStr">
        <is>
          <t>High</t>
        </is>
      </c>
      <c r="AC109" s="2" t="inlineStr">
        <is>
          <t>Your team opened an Edmonton office in 2023 to serve Northern Alberta.</t>
        </is>
      </c>
      <c r="AD109" s="2" t="inlineStr">
        <is>
          <t>Supports the appointment booking automation idea: Contact form + phone (1-844-276-4004) during office hours</t>
        </is>
      </c>
      <c r="AE109" s="2" t="inlineStr">
        <is>
          <t>I came across EVOLVsolar and noticed your team opened an Edmonton office in 2023 to serve Northern Alberta.</t>
        </is>
      </c>
      <c r="AF109" s="2" t="inlineStr">
        <is>
          <t>Solar appointment follow up</t>
        </is>
      </c>
      <c r="AG109" s="2" t="inlineStr">
        <is>
          <t>Hi EVOLVsolar team,
I came across EVOLVsolar and noticed your team opened an Edmonton office in 2023 to serve Northern Alberta.
I work with businesses on AI and workflow automation. For a solar company like EVOLVsolar,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109" s="2" t="inlineStr">
        <is>
          <t>https://evolvsolar.com/contact-us/</t>
        </is>
      </c>
      <c r="AI109" s="2" t="inlineStr">
        <is>
          <t>hello@evolvsolar.com; Edmonton and Saskatchewan landing pages; since 2015/2016.</t>
        </is>
      </c>
      <c r="AJ109" s="2" t="inlineStr">
        <is>
          <t>Company website (contact page)</t>
        </is>
      </c>
      <c r="AK109" s="2" t="inlineStr">
        <is>
          <t>High</t>
        </is>
      </c>
      <c r="AL109" s="2" t="inlineStr">
        <is>
          <t>Ready</t>
        </is>
      </c>
      <c r="AM109" s="2" t="inlineStr">
        <is>
          <t>Not Sent</t>
        </is>
      </c>
      <c r="AN109" s="2" t="n"/>
      <c r="AO109" s="2" t="inlineStr">
        <is>
          <t>Batch 2 | Legal name EVOLVRENEWABLES INC. per summary.</t>
        </is>
      </c>
    </row>
    <row r="110">
      <c r="A110" s="2" t="inlineStr"/>
      <c r="B110" s="2" t="inlineStr">
        <is>
          <t>Watts Up Solar LTD</t>
        </is>
      </c>
      <c r="C110" s="2" t="inlineStr"/>
      <c r="D110" s="2" t="inlineStr"/>
      <c r="E110" s="2" t="inlineStr">
        <is>
          <t>contact@wattsupsolar.ca</t>
        </is>
      </c>
      <c r="F110" s="2" t="inlineStr">
        <is>
          <t>Canada</t>
        </is>
      </c>
      <c r="G110" s="2" t="inlineStr">
        <is>
          <t>Nova Scotia</t>
        </is>
      </c>
      <c r="H110" s="2" t="inlineStr">
        <is>
          <t>Kingston</t>
        </is>
      </c>
      <c r="I110" s="2" t="inlineStr">
        <is>
          <t>https://wattsupsolar.ca/</t>
        </is>
      </c>
      <c r="J110" s="2" t="inlineStr">
        <is>
          <t>Solar &amp; battery installer</t>
        </is>
      </c>
      <c r="K110" s="2" t="inlineStr">
        <is>
          <t>Solar PV (Enphase), battery storage, EV chargers, commercial net metering</t>
        </is>
      </c>
      <c r="L110" s="2" t="inlineStr">
        <is>
          <t>Residential &amp; Commercial</t>
        </is>
      </c>
      <c r="M110" s="2" t="inlineStr">
        <is>
          <t>48,506 panels installed (per site summary)</t>
        </is>
      </c>
      <c r="N110" s="2" t="inlineStr">
        <is>
          <t>Nova Scotia</t>
        </is>
      </c>
      <c r="O110" s="2" t="inlineStr">
        <is>
          <t>1 (Kingston, NS)</t>
        </is>
      </c>
      <c r="P110" s="2" t="inlineStr">
        <is>
          <t>Yes</t>
        </is>
      </c>
      <c r="Q110" s="2" t="inlineStr">
        <is>
          <t>Unknown</t>
        </is>
      </c>
      <c r="R110" s="2" t="inlineStr">
        <is>
          <t>Unknown</t>
        </is>
      </c>
      <c r="S110" s="2" t="inlineStr">
        <is>
          <t>Yes</t>
        </is>
      </c>
      <c r="T110" s="2" t="inlineStr">
        <is>
          <t>Unknown</t>
        </is>
      </c>
      <c r="U110" s="2" t="inlineStr">
        <is>
          <t>Customer portal (app.wattsupsolar.ca sign-in)</t>
        </is>
      </c>
      <c r="V110" s="2" t="inlineStr">
        <is>
          <t>Website quote subdomain; savings calculator; Facebook</t>
        </is>
      </c>
      <c r="W110" s="2" t="inlineStr">
        <is>
          <t>Dedicated quote.wattsupsolar.ca subdomain and savings calculator</t>
        </is>
      </c>
      <c r="X110" s="2" t="inlineStr">
        <is>
          <t>48,506 panels installed; Consumer Choice Award six years</t>
        </is>
      </c>
      <c r="Y110" s="2" t="inlineStr">
        <is>
          <t>Savings calculator -&gt; quote -&gt; customer app account</t>
        </is>
      </c>
      <c r="Z110" s="2" t="inlineStr">
        <is>
          <t>Online savings calculator and quote app with user sign-in</t>
        </is>
      </c>
      <c r="AA110" s="2" t="inlineStr">
        <is>
          <t>Quote follow up</t>
        </is>
      </c>
      <c r="AB110" s="2" t="inlineStr">
        <is>
          <t>High</t>
        </is>
      </c>
      <c r="AC110" s="2" t="inlineStr">
        <is>
          <t>Your site offers a solar savings calculator to Nova Scotia homeowners.</t>
        </is>
      </c>
      <c r="AD110" s="2" t="inlineStr">
        <is>
          <t>Supports the quote follow up idea: Online savings calculator and quote app with user sign-in</t>
        </is>
      </c>
      <c r="AE110" s="2" t="inlineStr">
        <is>
          <t>I noticed your site offers a solar savings calculator to Nova Scotia homeowners.</t>
        </is>
      </c>
      <c r="AF110" s="2" t="inlineStr">
        <is>
          <t>Quote follow ups at Watts Up Solar LTD</t>
        </is>
      </c>
      <c r="AG110" s="2" t="inlineStr">
        <is>
          <t>Hi Watts Up Solar LTD team,
I noticed your site offers a solar savings calculator to Nova Scotia homeowners.
I work with businesses on AI and workflow automation. For a solar company like Watts Up Solar LTD, after a quote goes out, a short sequence could check in by email or SMS, answer common questions and alert the salesperson when someone replies or opens it again.
Fewer quotes go quiet just because nobody had time to follow up.
Would it be useful if I showed you how this could work with your current setup?
Best,
[Sender Name]
AI Automation Specialist</t>
        </is>
      </c>
      <c r="AH110" s="2" t="inlineStr">
        <is>
          <t>https://quote.wattsupsolar.ca/contact</t>
        </is>
      </c>
      <c r="AI110" s="2" t="inlineStr">
        <is>
          <t>contact@wattsupsolar.ca; quote.wattsupsolar.ca and app sign-in pages; Efficiency NS Solar Homes and EV charger pages.</t>
        </is>
      </c>
      <c r="AJ110" s="2" t="inlineStr">
        <is>
          <t>Company website (quote page)</t>
        </is>
      </c>
      <c r="AK110" s="2" t="inlineStr">
        <is>
          <t>High</t>
        </is>
      </c>
      <c r="AL110" s="2" t="inlineStr">
        <is>
          <t>Ready</t>
        </is>
      </c>
      <c r="AM110" s="2" t="inlineStr">
        <is>
          <t>Not Sent</t>
        </is>
      </c>
      <c r="AN110" s="2" t="n"/>
      <c r="AO110" s="2" t="inlineStr">
        <is>
          <t>Batch 2 | Email source: https://wattsupsolar.ca/contact</t>
        </is>
      </c>
    </row>
    <row r="111">
      <c r="A111" s="2" t="inlineStr"/>
      <c r="B111" s="2" t="inlineStr">
        <is>
          <t>Ontario Solar Installers</t>
        </is>
      </c>
      <c r="C111" s="2" t="inlineStr"/>
      <c r="D111" s="2" t="inlineStr"/>
      <c r="E111" s="2" t="inlineStr">
        <is>
          <t>info@ontario-solar-installers.ca</t>
        </is>
      </c>
      <c r="F111" s="2" t="inlineStr">
        <is>
          <t>Canada</t>
        </is>
      </c>
      <c r="G111" s="2" t="inlineStr">
        <is>
          <t>Ontario</t>
        </is>
      </c>
      <c r="H111" s="2" t="inlineStr"/>
      <c r="I111" s="2" t="inlineStr">
        <is>
          <t>https://ontario-solar-installers.ca/</t>
        </is>
      </c>
      <c r="J111" s="2" t="inlineStr">
        <is>
          <t>Residential solar installer</t>
        </is>
      </c>
      <c r="K111" s="2" t="inlineStr">
        <is>
          <t>Solar panels and installation</t>
        </is>
      </c>
      <c r="L111" s="2" t="inlineStr">
        <is>
          <t>Residential</t>
        </is>
      </c>
      <c r="M111" s="2" t="inlineStr">
        <is>
          <t>Unknown</t>
        </is>
      </c>
      <c r="N111" s="2" t="inlineStr">
        <is>
          <t>Ontario</t>
        </is>
      </c>
      <c r="O111" s="2" t="inlineStr">
        <is>
          <t>Unknown</t>
        </is>
      </c>
      <c r="P111" s="2" t="inlineStr">
        <is>
          <t>Unknown</t>
        </is>
      </c>
      <c r="Q111" s="2" t="inlineStr">
        <is>
          <t>Unknown</t>
        </is>
      </c>
      <c r="R111" s="2" t="inlineStr">
        <is>
          <t>Unknown</t>
        </is>
      </c>
      <c r="S111" s="2" t="inlineStr">
        <is>
          <t>Unknown</t>
        </is>
      </c>
      <c r="T111" s="2" t="inlineStr">
        <is>
          <t>Unknown</t>
        </is>
      </c>
      <c r="U111" s="2" t="inlineStr">
        <is>
          <t>Phone + email</t>
        </is>
      </c>
      <c r="V111" s="2" t="inlineStr">
        <is>
          <t>Website contact page; phone (905) 61-SOLAR</t>
        </is>
      </c>
      <c r="W111" s="2" t="inlineStr">
        <is>
          <t>None found</t>
        </is>
      </c>
      <c r="X111" s="2" t="inlineStr">
        <is>
          <t>None found</t>
        </is>
      </c>
      <c r="Y111" s="2" t="inlineStr">
        <is>
          <t>None found</t>
        </is>
      </c>
      <c r="Z111" s="2" t="inlineStr">
        <is>
          <t>Contact page with phone/email for quote inquiries</t>
        </is>
      </c>
      <c r="AA111" s="2" t="inlineStr">
        <is>
          <t>Quote request automation</t>
        </is>
      </c>
      <c r="AB111" s="2" t="inlineStr">
        <is>
          <t>Low</t>
        </is>
      </c>
      <c r="AC111" s="2" t="inlineStr">
        <is>
          <t>Your contact page invites Ontario homeowners to email for solar installation information.</t>
        </is>
      </c>
      <c r="AD111" s="2" t="inlineStr">
        <is>
          <t>Supports the quote request automation idea: Contact page with phone/email for quote inquiries</t>
        </is>
      </c>
      <c r="AE111" s="2" t="inlineStr">
        <is>
          <t>I was looking at your website and saw that your contact page invites Ontario homeowners to email for solar installation information.</t>
        </is>
      </c>
      <c r="AF111" s="2" t="inlineStr">
        <is>
          <t>Quote requests at Ontario Solar Installers</t>
        </is>
      </c>
      <c r="AG111" s="2" t="inlineStr">
        <is>
          <t>Hi Ontario Solar Installers team,
I was looking at your website and saw that your contact page invites Ontario homeowners to email for solar installation information.
I work with businesses on AI and workflow automation. For a solar company like Ontario Solar Installers,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11" s="2" t="inlineStr">
        <is>
          <t>https://ontario-solar-installers.ca/contact-us-2/</t>
        </is>
      </c>
      <c r="AI111" s="2" t="inlineStr">
        <is>
          <t>Contact page shows email as info(at)ontario-solar-installers.ca per search summary.</t>
        </is>
      </c>
      <c r="AJ111" s="2" t="inlineStr">
        <is>
          <t>Company website (contact page)</t>
        </is>
      </c>
      <c r="AK111" s="2" t="inlineStr">
        <is>
          <t>Low</t>
        </is>
      </c>
      <c r="AL111" s="2" t="inlineStr">
        <is>
          <t>Review</t>
        </is>
      </c>
      <c r="AM111" s="2" t="inlineStr">
        <is>
          <t>Not Sent</t>
        </is>
      </c>
      <c r="AN111" s="2" t="n"/>
      <c r="AO111" s="2" t="inlineStr">
        <is>
          <t>Batch 2 | Email shown obfuscated in summary; not independently verified. City unknown (905 area code suggests GTA suburbs). | Email seen in search results but not independently corroborated; verify on website before sending.</t>
        </is>
      </c>
    </row>
    <row r="112">
      <c r="A112" s="2" t="inlineStr"/>
      <c r="B112" s="2" t="inlineStr">
        <is>
          <t>Solar Panels BC</t>
        </is>
      </c>
      <c r="C112" s="2" t="inlineStr"/>
      <c r="D112" s="2" t="inlineStr"/>
      <c r="E112" s="2" t="inlineStr">
        <is>
          <t>info@solarpanelsbc.ca</t>
        </is>
      </c>
      <c r="F112" s="2" t="inlineStr">
        <is>
          <t>Canada</t>
        </is>
      </c>
      <c r="G112" s="2" t="inlineStr">
        <is>
          <t>British Columbia</t>
        </is>
      </c>
      <c r="H112" s="2" t="inlineStr">
        <is>
          <t>Vancouver</t>
        </is>
      </c>
      <c r="I112" s="2" t="inlineStr">
        <is>
          <t>https://solarpanelsbc.ca/</t>
        </is>
      </c>
      <c r="J112" s="2" t="inlineStr">
        <is>
          <t>Residential &amp; commercial solar installer</t>
        </is>
      </c>
      <c r="K112" s="2" t="inlineStr">
        <is>
          <t>Solar panels, solar roof tiles, solar hot water</t>
        </is>
      </c>
      <c r="L112" s="2" t="inlineStr">
        <is>
          <t>Residential &amp; Commercial</t>
        </is>
      </c>
      <c r="M112" s="2" t="inlineStr">
        <is>
          <t>Unknown</t>
        </is>
      </c>
      <c r="N112" s="2" t="inlineStr">
        <is>
          <t>British Columbia (Victoria to Kelowna, Nanaimo to Surrey)</t>
        </is>
      </c>
      <c r="O112" s="2" t="inlineStr">
        <is>
          <t>1 (1283 Howe St, Vancouver)</t>
        </is>
      </c>
      <c r="P112" s="2" t="inlineStr">
        <is>
          <t>Unknown</t>
        </is>
      </c>
      <c r="Q112" s="2" t="inlineStr">
        <is>
          <t>Unknown</t>
        </is>
      </c>
      <c r="R112" s="2" t="inlineStr">
        <is>
          <t>Unknown</t>
        </is>
      </c>
      <c r="S112" s="2" t="inlineStr">
        <is>
          <t>Unknown</t>
        </is>
      </c>
      <c r="T112" s="2" t="inlineStr">
        <is>
          <t>Unknown</t>
        </is>
      </c>
      <c r="U112" s="2" t="inlineStr">
        <is>
          <t>Phone + email</t>
        </is>
      </c>
      <c r="V112" s="2" t="inlineStr">
        <is>
          <t>Website contact page; phone 604-210-2205; Facebook</t>
        </is>
      </c>
      <c r="W112" s="2" t="inlineStr">
        <is>
          <t>None found</t>
        </is>
      </c>
      <c r="X112" s="2" t="inlineStr">
        <is>
          <t>Serves wide BC area per summary</t>
        </is>
      </c>
      <c r="Y112" s="2" t="inlineStr">
        <is>
          <t>None found</t>
        </is>
      </c>
      <c r="Z112" s="2" t="inlineStr">
        <is>
          <t>Contact page inquiries handled by phone/email</t>
        </is>
      </c>
      <c r="AA112" s="2" t="inlineStr">
        <is>
          <t>Lead qualification chatbot</t>
        </is>
      </c>
      <c r="AB112" s="2" t="inlineStr">
        <is>
          <t>Low</t>
        </is>
      </c>
      <c r="AC112" s="2" t="inlineStr">
        <is>
          <t>Your site says you serve customers from Victoria to Kelowna.</t>
        </is>
      </c>
      <c r="AD112" s="2" t="inlineStr">
        <is>
          <t>Supports the lead qualification chatbot idea: Contact page inquiries handled by phone/email</t>
        </is>
      </c>
      <c r="AE112" s="2" t="inlineStr">
        <is>
          <t>I came across Solar Panels BC and noticed your site says you serve customers from Victoria to Kelowna.</t>
        </is>
      </c>
      <c r="AF112" s="2" t="inlineStr">
        <is>
          <t>Qualifying solar enquiries at Solar Panels BC</t>
        </is>
      </c>
      <c r="AG112" s="2" t="inlineStr">
        <is>
          <t>Hi Solar Panels BC team,
I came across Solar Panels BC and noticed your site says you serve customers from Victoria to Kelowna.
I work with businesses on AI and workflow automation. For a solar company like Solar Panels BC,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12" s="2" t="inlineStr">
        <is>
          <t>https://solarpanelsbc.ca/contact/</t>
        </is>
      </c>
      <c r="AI112" s="2" t="inlineStr">
        <is>
          <t>Contact page summary gave info@solarpanelsbc.ca; exact-match search showed obfuscated email only.</t>
        </is>
      </c>
      <c r="AJ112" s="2" t="inlineStr">
        <is>
          <t>Company website (contact page)</t>
        </is>
      </c>
      <c r="AK112" s="2" t="inlineStr">
        <is>
          <t>Low</t>
        </is>
      </c>
      <c r="AL112" s="2" t="inlineStr">
        <is>
          <t>Review</t>
        </is>
      </c>
      <c r="AM112" s="2" t="inlineStr">
        <is>
          <t>Not Sent</t>
        </is>
      </c>
      <c r="AN112" s="2" t="n"/>
      <c r="AO112" s="2" t="inlineStr">
        <is>
          <t>Batch 2 | Related domains solarpanelsbc.com and bcsolarpanels.ca also appear; email not corroborated. | Email seen in search results but not independently corroborated; verify on website before sending.</t>
        </is>
      </c>
    </row>
    <row r="113">
      <c r="A113" s="2" t="inlineStr">
        <is>
          <t>David Kelly</t>
        </is>
      </c>
      <c r="B113" s="2" t="inlineStr">
        <is>
          <t>SkyFire Energy Inc.</t>
        </is>
      </c>
      <c r="C113" s="2" t="inlineStr">
        <is>
          <t>David</t>
        </is>
      </c>
      <c r="D113" s="2" t="inlineStr">
        <is>
          <t>Founder</t>
        </is>
      </c>
      <c r="E113" s="2" t="inlineStr">
        <is>
          <t>info@skyfireenergy.com</t>
        </is>
      </c>
      <c r="F113" s="2" t="inlineStr">
        <is>
          <t>Canada</t>
        </is>
      </c>
      <c r="G113" s="2" t="inlineStr">
        <is>
          <t>Alberta</t>
        </is>
      </c>
      <c r="H113" s="2" t="inlineStr">
        <is>
          <t>Calgary</t>
        </is>
      </c>
      <c r="I113" s="2" t="inlineStr">
        <is>
          <t>https://skyfireenergy.com/</t>
        </is>
      </c>
      <c r="J113" s="2" t="inlineStr">
        <is>
          <t>Solar &amp; battery installer</t>
        </is>
      </c>
      <c r="K113" s="2" t="inlineStr">
        <is>
          <t>Residential and commercial solar, battery storage, off-grid</t>
        </is>
      </c>
      <c r="L113" s="2" t="inlineStr">
        <is>
          <t>Residential &amp; Commercial</t>
        </is>
      </c>
      <c r="M113" s="2" t="inlineStr">
        <is>
          <t>Unknown</t>
        </is>
      </c>
      <c r="N113" s="2" t="inlineStr">
        <is>
          <t>Western Canada (AB, BC, SK, MB, ON, NWT, Yukon)</t>
        </is>
      </c>
      <c r="O113" s="2" t="inlineStr">
        <is>
          <t>Offices in Calgary and Edmonton</t>
        </is>
      </c>
      <c r="P113" s="2" t="inlineStr">
        <is>
          <t>Unknown</t>
        </is>
      </c>
      <c r="Q113" s="2" t="inlineStr">
        <is>
          <t>Unknown</t>
        </is>
      </c>
      <c r="R113" s="2" t="inlineStr">
        <is>
          <t>Unknown</t>
        </is>
      </c>
      <c r="S113" s="2" t="inlineStr">
        <is>
          <t>Unknown</t>
        </is>
      </c>
      <c r="T113" s="2" t="inlineStr">
        <is>
          <t>Unknown</t>
        </is>
      </c>
      <c r="U113" s="2" t="inlineStr">
        <is>
          <t>Phone</t>
        </is>
      </c>
      <c r="V113" s="2" t="inlineStr">
        <is>
          <t>Website; phone (403) 251-0668</t>
        </is>
      </c>
      <c r="W113" s="2" t="inlineStr">
        <is>
          <t>None found</t>
        </is>
      </c>
      <c r="X113" s="2" t="inlineStr">
        <is>
          <t>Founded 2001; projects across multiple provinces and territories</t>
        </is>
      </c>
      <c r="Y113" s="2" t="inlineStr">
        <is>
          <t>None found</t>
        </is>
      </c>
      <c r="Z113" s="2" t="inlineStr">
        <is>
          <t>Phone-based inquiries across wide service area</t>
        </is>
      </c>
      <c r="AA113" s="2" t="inlineStr">
        <is>
          <t>Lead qualification chatbot</t>
        </is>
      </c>
      <c r="AB113" s="2" t="inlineStr">
        <is>
          <t>Medium</t>
        </is>
      </c>
      <c r="AC113" s="2" t="inlineStr">
        <is>
          <t>Your company has been installing solar in Western Canada since 2001.</t>
        </is>
      </c>
      <c r="AD113" s="2" t="inlineStr">
        <is>
          <t>Supports the lead qualification chatbot idea: Phone-based inquiries across wide service area</t>
        </is>
      </c>
      <c r="AE113" s="2" t="inlineStr">
        <is>
          <t>I noticed your company has been installing solar in Western Canada since 2001.</t>
        </is>
      </c>
      <c r="AF113" s="2" t="inlineStr">
        <is>
          <t>A lead qualification idea for SkyFire Energy Inc.</t>
        </is>
      </c>
      <c r="AG113" s="2" t="inlineStr">
        <is>
          <t>Hi David,
I noticed your company has been installing solar in Western Canada since 2001.
I work with businesses on AI and workflow automation. For a solar company like SkyFire Energy Inc.,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13" s="2" t="inlineStr">
        <is>
          <t>https://skyfireenergy.com/</t>
        </is>
      </c>
      <c r="AI113" s="2" t="inlineStr">
        <is>
          <t>Homepage title lists residential, commercial, battery storage; Calgary HQ 4038 7 St SE; founder David Kelly per ZoomInfo/RocketReach.</t>
        </is>
      </c>
      <c r="AJ113" s="2" t="inlineStr">
        <is>
          <t>Company website (homepage)</t>
        </is>
      </c>
      <c r="AK113" s="2" t="inlineStr">
        <is>
          <t>Medium</t>
        </is>
      </c>
      <c r="AL113" s="2" t="inlineStr">
        <is>
          <t>Review</t>
        </is>
      </c>
      <c r="AM113" s="2" t="inlineStr">
        <is>
          <t>Not Sent</t>
        </is>
      </c>
      <c r="AN113" s="2" t="n"/>
      <c r="AO113" s="2" t="inlineStr">
        <is>
          <t>Batch 2 | Email from exact-match search summary; listing pages were mostly data brokers. | Email seen in search results but not independently corroborated; verify on website before sending. | Email source: https://calgarycommunities.com/directory/skyfire-energy/</t>
        </is>
      </c>
    </row>
    <row r="114">
      <c r="A114" s="2" t="inlineStr">
        <is>
          <t>Brian McKay</t>
        </is>
      </c>
      <c r="B114" s="2" t="inlineStr">
        <is>
          <t>Aztek Solar Ltd.</t>
        </is>
      </c>
      <c r="C114" s="2" t="inlineStr">
        <is>
          <t>Brian</t>
        </is>
      </c>
      <c r="D114" s="2" t="inlineStr">
        <is>
          <t>President</t>
        </is>
      </c>
      <c r="E114" s="2" t="inlineStr">
        <is>
          <t>brian@azteksolar.net</t>
        </is>
      </c>
      <c r="F114" s="2" t="inlineStr">
        <is>
          <t>Canada</t>
        </is>
      </c>
      <c r="G114" s="2" t="inlineStr">
        <is>
          <t>Nova Scotia</t>
        </is>
      </c>
      <c r="H114" s="2" t="inlineStr">
        <is>
          <t>Lower Sackville</t>
        </is>
      </c>
      <c r="I114" s="2" t="inlineStr">
        <is>
          <t>https://www.azteksolar.ca/</t>
        </is>
      </c>
      <c r="J114" s="2" t="inlineStr">
        <is>
          <t>Residential &amp; commercial solar installer</t>
        </is>
      </c>
      <c r="K114" s="2" t="inlineStr">
        <is>
          <t>Solar PV, solar pool heating, solar hot water</t>
        </is>
      </c>
      <c r="L114" s="2" t="inlineStr">
        <is>
          <t>Residential, Commercial &amp; Municipal</t>
        </is>
      </c>
      <c r="M114" s="2" t="inlineStr">
        <is>
          <t>Unknown</t>
        </is>
      </c>
      <c r="N114" s="2" t="inlineStr">
        <is>
          <t>Halifax, Dartmouth and rural Nova Scotia</t>
        </is>
      </c>
      <c r="O114" s="2" t="inlineStr">
        <is>
          <t>1 (Lower Sackville, NS)</t>
        </is>
      </c>
      <c r="P114" s="2" t="inlineStr">
        <is>
          <t>Unknown</t>
        </is>
      </c>
      <c r="Q114" s="2" t="inlineStr">
        <is>
          <t>Unknown</t>
        </is>
      </c>
      <c r="R114" s="2" t="inlineStr">
        <is>
          <t>Unknown</t>
        </is>
      </c>
      <c r="S114" s="2" t="inlineStr">
        <is>
          <t>Unknown</t>
        </is>
      </c>
      <c r="T114" s="2" t="inlineStr">
        <is>
          <t>Unknown</t>
        </is>
      </c>
      <c r="U114" s="2" t="inlineStr">
        <is>
          <t>Phone + email</t>
        </is>
      </c>
      <c r="V114" s="2" t="inlineStr">
        <is>
          <t>Website; Facebook; Glassdoor job ads</t>
        </is>
      </c>
      <c r="W114" s="2" t="inlineStr">
        <is>
          <t>Hiring Associate Solar Advisor and Territory Sales Representative on staff</t>
        </is>
      </c>
      <c r="X114" s="2" t="inlineStr">
        <is>
          <t>None found</t>
        </is>
      </c>
      <c r="Y114" s="2" t="inlineStr">
        <is>
          <t>None found</t>
        </is>
      </c>
      <c r="Z114" s="2" t="inlineStr">
        <is>
          <t>Sales advisors handling inquiries manually</t>
        </is>
      </c>
      <c r="AA114" s="2" t="inlineStr">
        <is>
          <t>Lead qualification chatbot</t>
        </is>
      </c>
      <c r="AB114" s="2" t="inlineStr">
        <is>
          <t>Medium</t>
        </is>
      </c>
      <c r="AC114" s="2" t="inlineStr">
        <is>
          <t>You're hiring an Associate Solar Advisor to grow your sales team.</t>
        </is>
      </c>
      <c r="AD114" s="2" t="inlineStr">
        <is>
          <t>Supports the lead qualification chatbot idea: Sales advisors handling inquiries manually</t>
        </is>
      </c>
      <c r="AE114" s="2" t="inlineStr">
        <is>
          <t>I was looking at your website and saw that You're hiring an Associate Solar Advisor to grow your sales team.</t>
        </is>
      </c>
      <c r="AF114" s="2" t="inlineStr">
        <is>
          <t>Qualifying solar enquiries at Aztek Solar Ltd.</t>
        </is>
      </c>
      <c r="AG114" s="2" t="inlineStr">
        <is>
          <t>Hi Brian,
I was looking at your website and saw that You're hiring an Associate Solar Advisor to grow your sales team.
I work with businesses on AI and workflow automation. For a solar company like Aztek Solar Ltd.,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14" s="2" t="inlineStr">
        <is>
          <t>https://www.azteksolar.ca/</t>
        </is>
      </c>
      <c r="AI114" s="2" t="inlineStr">
        <is>
          <t>Glassdoor listing for Associate Solar Advisor; President Brian McKay per ZoomInfo/RocketReach; email seen only in summary.</t>
        </is>
      </c>
      <c r="AJ114" s="2" t="inlineStr">
        <is>
          <t>Careers page</t>
        </is>
      </c>
      <c r="AK114" s="2" t="inlineStr">
        <is>
          <t>Medium</t>
        </is>
      </c>
      <c r="AL114" s="2" t="inlineStr">
        <is>
          <t>Review</t>
        </is>
      </c>
      <c r="AM114" s="2" t="inlineStr">
        <is>
          <t>Not Sent</t>
        </is>
      </c>
      <c r="AN114" s="2" t="n"/>
      <c r="AO114" s="2" t="inlineStr">
        <is>
          <t>Batch 2 | Email on .net domain while site is .ca; info@azteksolar.ca not found. | Email seen in search results but not independently corroborated; verify on website before sending. | Email source: https://www.azteksolar.ca/contact-aztek-solar</t>
        </is>
      </c>
    </row>
    <row r="115">
      <c r="A115" s="2" t="inlineStr"/>
      <c r="B115" s="2" t="inlineStr">
        <is>
          <t>Prairie Sun Solar</t>
        </is>
      </c>
      <c r="C115" s="2" t="inlineStr"/>
      <c r="D115" s="2" t="inlineStr"/>
      <c r="E115" s="2" t="inlineStr">
        <is>
          <t>info@prairiesunsolar.com</t>
        </is>
      </c>
      <c r="F115" s="2" t="inlineStr">
        <is>
          <t>Canada</t>
        </is>
      </c>
      <c r="G115" s="2" t="inlineStr">
        <is>
          <t>Saskatchewan</t>
        </is>
      </c>
      <c r="H115" s="2" t="inlineStr">
        <is>
          <t>Regina</t>
        </is>
      </c>
      <c r="I115" s="2" t="inlineStr">
        <is>
          <t>https://prairiesunsolar.com/</t>
        </is>
      </c>
      <c r="J115" s="2" t="inlineStr">
        <is>
          <t>Residential &amp; commercial solar installer</t>
        </is>
      </c>
      <c r="K115" s="2" t="inlineStr">
        <is>
          <t>Solar installation, DIY solar kits</t>
        </is>
      </c>
      <c r="L115" s="2" t="inlineStr">
        <is>
          <t>Residential &amp; Commercial</t>
        </is>
      </c>
      <c r="M115" s="2" t="inlineStr">
        <is>
          <t>Unknown</t>
        </is>
      </c>
      <c r="N115" s="2" t="inlineStr">
        <is>
          <t>Saskatchewan</t>
        </is>
      </c>
      <c r="O115" s="2" t="inlineStr">
        <is>
          <t>1 (856 Dewdney Ave, Regina)</t>
        </is>
      </c>
      <c r="P115" s="2" t="inlineStr">
        <is>
          <t>Unknown</t>
        </is>
      </c>
      <c r="Q115" s="2" t="inlineStr">
        <is>
          <t>Unknown</t>
        </is>
      </c>
      <c r="R115" s="2" t="inlineStr">
        <is>
          <t>Unknown</t>
        </is>
      </c>
      <c r="S115" s="2" t="inlineStr">
        <is>
          <t>Unknown</t>
        </is>
      </c>
      <c r="T115" s="2" t="inlineStr">
        <is>
          <t>Unknown</t>
        </is>
      </c>
      <c r="U115" s="2" t="inlineStr">
        <is>
          <t>Phone + email</t>
        </is>
      </c>
      <c r="V115" s="2" t="inlineStr">
        <is>
          <t>Website; city landing pages; phone 306-531-4131</t>
        </is>
      </c>
      <c r="W115" s="2" t="inlineStr">
        <is>
          <t>None found</t>
        </is>
      </c>
      <c r="X115" s="2" t="inlineStr">
        <is>
          <t>Described as province's longest-running solar installer (summary)</t>
        </is>
      </c>
      <c r="Y115" s="2" t="inlineStr">
        <is>
          <t>None found</t>
        </is>
      </c>
      <c r="Z115" s="2" t="inlineStr">
        <is>
          <t>Phone/email inquiries</t>
        </is>
      </c>
      <c r="AA115" s="2" t="inlineStr">
        <is>
          <t>Quote request automation</t>
        </is>
      </c>
      <c r="AB115" s="2" t="inlineStr">
        <is>
          <t>Low</t>
        </is>
      </c>
      <c r="AC115" s="2" t="inlineStr">
        <is>
          <t>Your site offers both professional installation and DIY solar options in Saskatchewan.</t>
        </is>
      </c>
      <c r="AD115" s="2" t="inlineStr">
        <is>
          <t>Supports the quote request automation idea: Phone/email inquiries</t>
        </is>
      </c>
      <c r="AE115" s="2" t="inlineStr">
        <is>
          <t>I came across Prairie Sun Solar and noticed your site offers both professional installation and DIY solar options in Saskatchewan.</t>
        </is>
      </c>
      <c r="AF115" s="2" t="inlineStr">
        <is>
          <t>Quote requests at Prairie Sun Solar</t>
        </is>
      </c>
      <c r="AG115" s="2" t="inlineStr">
        <is>
          <t>Hi Prairie Sun Solar team,
I came across Prairie Sun Solar and noticed your site offers both professional installation and DIY solar options in Saskatchewan.
I work with businesses on AI and workflow automation. For a solar company like Prairie Sun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15" s="2" t="inlineStr">
        <is>
          <t>https://prairiesunsolar.com/</t>
        </is>
      </c>
      <c r="AI115" s="2" t="inlineStr">
        <is>
          <t>Homepage title 'Saskatchewan Solar Installation &amp; DIY'; email from search summary.</t>
        </is>
      </c>
      <c r="AJ115" s="2" t="inlineStr">
        <is>
          <t>Company website (homepage)</t>
        </is>
      </c>
      <c r="AK115" s="2" t="inlineStr">
        <is>
          <t>Medium</t>
        </is>
      </c>
      <c r="AL115" s="2" t="inlineStr">
        <is>
          <t>Review</t>
        </is>
      </c>
      <c r="AM115" s="2" t="inlineStr">
        <is>
          <t>Not Sent</t>
        </is>
      </c>
      <c r="AN115" s="2" t="n"/>
      <c r="AO115" s="2" t="inlineStr">
        <is>
          <t>Batch 2 | Exact-match email verification not possible (search budget exhausted). | Email seen in search results but not independently corroborated; verify on website before sending. | Email source: https://prairiesunsolar.com/solar/</t>
        </is>
      </c>
    </row>
    <row r="116">
      <c r="A116" s="2" t="inlineStr"/>
      <c r="B116" s="2" t="inlineStr">
        <is>
          <t>Trust Renewables Ltd</t>
        </is>
      </c>
      <c r="C116" s="2" t="inlineStr"/>
      <c r="D116" s="2" t="inlineStr"/>
      <c r="E116" s="2" t="inlineStr">
        <is>
          <t>info@trustrenewables.com</t>
        </is>
      </c>
      <c r="F116" s="2" t="inlineStr">
        <is>
          <t>United Kingdom</t>
        </is>
      </c>
      <c r="G116" s="2" t="inlineStr">
        <is>
          <t>Greater Manchester</t>
        </is>
      </c>
      <c r="H116" s="2" t="inlineStr">
        <is>
          <t>Manchester</t>
        </is>
      </c>
      <c r="I116" s="2" t="inlineStr">
        <is>
          <t>https://trustrenewables.com/</t>
        </is>
      </c>
      <c r="J116" s="2" t="inlineStr">
        <is>
          <t>Residential &amp; commercial solar installer</t>
        </is>
      </c>
      <c r="K116" s="2" t="inlineStr">
        <is>
          <t>Solar PV, battery storage, EV charging, utility-scale solar, finance &amp; funding</t>
        </is>
      </c>
      <c r="L116" s="2" t="inlineStr">
        <is>
          <t>Residential &amp; Commercial</t>
        </is>
      </c>
      <c r="M116" s="2" t="inlineStr">
        <is>
          <t>Unknown</t>
        </is>
      </c>
      <c r="N116" s="2" t="inlineStr">
        <is>
          <t>Greater Manchester (10 GMCA boroughs)</t>
        </is>
      </c>
      <c r="O116" s="2" t="inlineStr">
        <is>
          <t>1 (Manchester)</t>
        </is>
      </c>
      <c r="P116" s="2" t="inlineStr">
        <is>
          <t>Unknown</t>
        </is>
      </c>
      <c r="Q116" s="2" t="inlineStr">
        <is>
          <t>Yes</t>
        </is>
      </c>
      <c r="R116" s="2" t="inlineStr">
        <is>
          <t>Unknown</t>
        </is>
      </c>
      <c r="S116" s="2" t="inlineStr">
        <is>
          <t>Unknown</t>
        </is>
      </c>
      <c r="T116" s="2" t="inlineStr">
        <is>
          <t>Unknown</t>
        </is>
      </c>
      <c r="U116" s="2" t="inlineStr">
        <is>
          <t>Phone + email; installation &amp; maintenance</t>
        </is>
      </c>
      <c r="V116" s="2" t="inlineStr">
        <is>
          <t>Website; phone; email; X/Twitter</t>
        </is>
      </c>
      <c r="W116" s="2" t="inlineStr">
        <is>
          <t>Offers free desktop survey on request by phone/email</t>
        </is>
      </c>
      <c r="X116" s="2" t="inlineStr">
        <is>
          <t>Serves domestic, commercial &amp; industrial and utility-scale projects</t>
        </is>
      </c>
      <c r="Y116" s="2" t="inlineStr">
        <is>
          <t>Desktop survey -&gt; quote; finance &amp; funding service page</t>
        </is>
      </c>
      <c r="Z116" s="2" t="inlineStr">
        <is>
          <t>Free desktop survey requested by phone or email, handled manually</t>
        </is>
      </c>
      <c r="AA116" s="2" t="inlineStr">
        <is>
          <t>Quote request automation</t>
        </is>
      </c>
      <c r="AB116" s="2" t="inlineStr">
        <is>
          <t>Medium</t>
        </is>
      </c>
      <c r="AC116" s="2" t="inlineStr">
        <is>
          <t>Your site invites Greater Manchester homeowners to request a free desktop solar survey by phone or email.</t>
        </is>
      </c>
      <c r="AD116" s="2" t="inlineStr">
        <is>
          <t>Supports the quote request automation idea: Free desktop survey requested by phone or email, handled manually</t>
        </is>
      </c>
      <c r="AE116" s="2" t="inlineStr">
        <is>
          <t>I noticed your site invites Greater Manchester homeowners to request a free desktop solar survey by phone or email.</t>
        </is>
      </c>
      <c r="AF116" s="2" t="inlineStr">
        <is>
          <t>A solar quote workflow idea</t>
        </is>
      </c>
      <c r="AG116" s="2" t="inlineStr">
        <is>
          <t>Hi Trust Renewables Ltd team,
I noticed your site invites Greater Manchester homeowners to request a free desktop solar survey by phone or email.
I work with businesses on AI and workflow automation. For a solar company like Trust Renewables Ltd,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16" s="2" t="inlineStr">
        <is>
          <t>https://trustrenewables.com/solar-installer-manchester/</t>
        </is>
      </c>
      <c r="AI116" s="2" t="inlineStr">
        <is>
          <t>Manchester page lists info@trustrenewables.com and 0161 667 0934; free desktop survey; services include domestic solar, battery storage, utility-scale solar, finance &amp; funding.</t>
        </is>
      </c>
      <c r="AJ116" s="2" t="inlineStr">
        <is>
          <t>Company website (service page)</t>
        </is>
      </c>
      <c r="AK116" s="2" t="inlineStr">
        <is>
          <t>High</t>
        </is>
      </c>
      <c r="AL116" s="2" t="inlineStr">
        <is>
          <t>Ready</t>
        </is>
      </c>
      <c r="AM116" s="2" t="inlineStr">
        <is>
          <t>Not Sent</t>
        </is>
      </c>
      <c r="AN116" s="2" t="n"/>
      <c r="AO116" s="2" t="inlineStr">
        <is>
          <t>Batch 2</t>
        </is>
      </c>
    </row>
    <row r="117">
      <c r="A117" s="2" t="inlineStr"/>
      <c r="B117" s="2" t="inlineStr">
        <is>
          <t>RB Grant Electrical Contractors</t>
        </is>
      </c>
      <c r="C117" s="2" t="inlineStr"/>
      <c r="D117" s="2" t="inlineStr"/>
      <c r="E117" s="2" t="inlineStr">
        <is>
          <t>info@rbgrant.co.uk</t>
        </is>
      </c>
      <c r="F117" s="2" t="inlineStr">
        <is>
          <t>United Kingdom</t>
        </is>
      </c>
      <c r="G117" s="2" t="inlineStr">
        <is>
          <t>Fife</t>
        </is>
      </c>
      <c r="H117" s="2" t="inlineStr">
        <is>
          <t>Glenrothes</t>
        </is>
      </c>
      <c r="I117" s="2" t="inlineStr">
        <is>
          <t>https://www.rbgrant.co.uk/</t>
        </is>
      </c>
      <c r="J117" s="2" t="inlineStr">
        <is>
          <t>Electrical contractor + solar &amp; battery installer</t>
        </is>
      </c>
      <c r="K117" s="2" t="inlineStr">
        <is>
          <t>Solar PV, battery storage (GivEnergy), EV chargers, solar panel cleaning, MVHR, electrical contracting</t>
        </is>
      </c>
      <c r="L117" s="2" t="inlineStr">
        <is>
          <t>Residential &amp; Commercial</t>
        </is>
      </c>
      <c r="M117" s="2" t="inlineStr">
        <is>
          <t>Family-run, established 1974</t>
        </is>
      </c>
      <c r="N117" s="2" t="inlineStr">
        <is>
          <t>Scotland (Fife, Glasgow and beyond)</t>
        </is>
      </c>
      <c r="O117" s="2" t="inlineStr">
        <is>
          <t>2 (Glenrothes; St Andrews)</t>
        </is>
      </c>
      <c r="P117" s="2" t="inlineStr">
        <is>
          <t>Yes</t>
        </is>
      </c>
      <c r="Q117" s="2" t="inlineStr">
        <is>
          <t>Unknown</t>
        </is>
      </c>
      <c r="R117" s="2" t="inlineStr">
        <is>
          <t>Unknown</t>
        </is>
      </c>
      <c r="S117" s="2" t="inlineStr">
        <is>
          <t>Yes</t>
        </is>
      </c>
      <c r="T117" s="2" t="inlineStr">
        <is>
          <t>Unknown</t>
        </is>
      </c>
      <c r="U117" s="2" t="inlineStr">
        <is>
          <t>Phone + email; solar panel cleaning/repair service</t>
        </is>
      </c>
      <c r="V117" s="2" t="inlineStr">
        <is>
          <t>Website renewables enquiry form; phone; Facebook; LinkedIn</t>
        </is>
      </c>
      <c r="W117" s="2" t="inlineStr">
        <is>
          <t>Dedicated renewables enquiry form for free solar PV estimates</t>
        </is>
      </c>
      <c r="X117" s="2" t="inlineStr">
        <is>
          <t>2 offices; 50+ years trading; serves homes and businesses across Scotland</t>
        </is>
      </c>
      <c r="Y117" s="2" t="inlineStr">
        <is>
          <t>Enquiry form -&gt; free estimate</t>
        </is>
      </c>
      <c r="Z117" s="2" t="inlineStr">
        <is>
          <t>Renewables enquiry form for free estimates, followed up manually</t>
        </is>
      </c>
      <c r="AA117" s="2" t="inlineStr">
        <is>
          <t>Lead qualification chatbot</t>
        </is>
      </c>
      <c r="AB117" s="2" t="inlineStr">
        <is>
          <t>Medium</t>
        </is>
      </c>
      <c r="AC117" s="2" t="inlineStr">
        <is>
          <t>Your site has a dedicated renewables enquiry form offering free solar PV estimates.</t>
        </is>
      </c>
      <c r="AD117" s="2" t="inlineStr">
        <is>
          <t>Supports the lead qualification chatbot idea: Renewables enquiry form for free estimates, followed up manually</t>
        </is>
      </c>
      <c r="AE117" s="2" t="inlineStr">
        <is>
          <t>I noticed your site has a dedicated renewables enquiry form offering free solar PV estimates.</t>
        </is>
      </c>
      <c r="AF117" s="2" t="inlineStr">
        <is>
          <t>A solar lead follow up idea</t>
        </is>
      </c>
      <c r="AG117" s="2" t="inlineStr">
        <is>
          <t>Hi RB Grant Electrical Contractors team,
I noticed your site has a dedicated renewables enquiry form offering free solar PV estimates.
I work with businesses on AI and workflow automation. For a solar company like RB Grant Electrical Contractors,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17" s="2" t="inlineStr">
        <is>
          <t>https://www.rbgrant.co.uk/about-rbgrant/renewables-enquiry-form/</t>
        </is>
      </c>
      <c r="AI117" s="2" t="inlineStr">
        <is>
          <t>Search for info@rbgrant.co.uk returns rbgrant.co.uk pages; /renewables-enquiry-form/ titled 'Free solar PV estimates'; GivEnergy battery page; offices in Glenrothes and St Andrews.</t>
        </is>
      </c>
      <c r="AJ117" s="2" t="inlineStr">
        <is>
          <t>Company website (quote page)</t>
        </is>
      </c>
      <c r="AK117" s="2" t="inlineStr">
        <is>
          <t>High</t>
        </is>
      </c>
      <c r="AL117" s="2" t="inlineStr">
        <is>
          <t>Ready</t>
        </is>
      </c>
      <c r="AM117" s="2" t="inlineStr">
        <is>
          <t>Not Sent</t>
        </is>
      </c>
      <c r="AN117" s="2" t="n"/>
      <c r="AO117" s="2" t="inlineStr">
        <is>
          <t>Batch 2 | Email source: https://www.rbgrant.co.uk/</t>
        </is>
      </c>
    </row>
    <row r="118">
      <c r="A118" s="2" t="inlineStr"/>
      <c r="B118" s="2" t="inlineStr">
        <is>
          <t>Manchester Renewables Ltd</t>
        </is>
      </c>
      <c r="C118" s="2" t="inlineStr"/>
      <c r="D118" s="2" t="inlineStr"/>
      <c r="E118" s="2" t="inlineStr">
        <is>
          <t>info@manchesterrenewables.co.uk</t>
        </is>
      </c>
      <c r="F118" s="2" t="inlineStr">
        <is>
          <t>United Kingdom</t>
        </is>
      </c>
      <c r="G118" s="2" t="inlineStr">
        <is>
          <t>Greater Manchester</t>
        </is>
      </c>
      <c r="H118" s="2" t="inlineStr">
        <is>
          <t>Cheadle</t>
        </is>
      </c>
      <c r="I118" s="2" t="inlineStr">
        <is>
          <t>https://manchesterrenewables.co.uk/</t>
        </is>
      </c>
      <c r="J118" s="2" t="inlineStr">
        <is>
          <t>Solar &amp; battery installer</t>
        </is>
      </c>
      <c r="K118" s="2" t="inlineStr">
        <is>
          <t>Solar PV, battery storage, EV charging points, heat pumps</t>
        </is>
      </c>
      <c r="L118" s="2" t="inlineStr">
        <is>
          <t>Residential</t>
        </is>
      </c>
      <c r="M118" s="2" t="inlineStr">
        <is>
          <t>Unknown</t>
        </is>
      </c>
      <c r="N118" s="2" t="inlineStr">
        <is>
          <t>Greater Manchester</t>
        </is>
      </c>
      <c r="O118" s="2" t="inlineStr">
        <is>
          <t>1 (Cheadle)</t>
        </is>
      </c>
      <c r="P118" s="2" t="inlineStr">
        <is>
          <t>Yes</t>
        </is>
      </c>
      <c r="Q118" s="2" t="inlineStr">
        <is>
          <t>Yes</t>
        </is>
      </c>
      <c r="R118" s="2" t="inlineStr">
        <is>
          <t>Unknown</t>
        </is>
      </c>
      <c r="S118" s="2" t="inlineStr">
        <is>
          <t>Unknown</t>
        </is>
      </c>
      <c r="T118" s="2" t="inlineStr">
        <is>
          <t>Unknown</t>
        </is>
      </c>
      <c r="U118" s="2" t="inlineStr">
        <is>
          <t>Phone + email</t>
        </is>
      </c>
      <c r="V118" s="2" t="inlineStr">
        <is>
          <t>Website; phone; Facebook; Trustpilot</t>
        </is>
      </c>
      <c r="W118" s="2" t="inlineStr">
        <is>
          <t>Free no-obligation surveys, visit within 5-7 working days; careers page</t>
        </is>
      </c>
      <c r="X118" s="2" t="inlineStr">
        <is>
          <t>Careers page suggests hiring</t>
        </is>
      </c>
      <c r="Y118" s="2" t="inlineStr">
        <is>
          <t>Enquiry -&gt; free home survey -&gt; quote</t>
        </is>
      </c>
      <c r="Z118" s="2" t="inlineStr">
        <is>
          <t>Enquiry followed by manually scheduled free survey visit</t>
        </is>
      </c>
      <c r="AA118" s="2" t="inlineStr">
        <is>
          <t>Site survey scheduling</t>
        </is>
      </c>
      <c r="AB118" s="2" t="inlineStr">
        <is>
          <t>Medium</t>
        </is>
      </c>
      <c r="AC118" s="2" t="inlineStr">
        <is>
          <t>Your site promises a free no-obligation solar survey visit within 5-7 working days of an enquiry.</t>
        </is>
      </c>
      <c r="AD118" s="2" t="inlineStr">
        <is>
          <t>Supports the site survey scheduling idea: Enquiry followed by manually scheduled free survey visit</t>
        </is>
      </c>
      <c r="AE118" s="2" t="inlineStr">
        <is>
          <t>I came across Manchester Renewables Ltd and noticed your site promises a free no-obligation solar survey visit within 5-7 working days of an enquiry.</t>
        </is>
      </c>
      <c r="AF118" s="2" t="inlineStr">
        <is>
          <t>Site survey scheduling idea</t>
        </is>
      </c>
      <c r="AG118" s="2" t="inlineStr">
        <is>
          <t>Hi Manchester Renewables Ltd team,
I came across Manchester Renewables Ltd and noticed your site promises a free no-obligation solar survey visit within 5-7 working days of an enquiry.
I work with businesses on AI and workflow automation. For a solar company like Manchester Renewables Ltd, once a lead is qualified, a workflow could offer survey slots, confirm the address and roof details, send reminders and notify the surveyor.
It keeps surveys moving without someone chasing each one by phone.
Would it be useful if I showed you how this could work with your current setup?
Best,
[Sender Name]
AI Automation Specialist</t>
        </is>
      </c>
      <c r="AH118" s="2" t="inlineStr">
        <is>
          <t>https://manchesterrenewables.co.uk/solar-panel-survey/</t>
        </is>
      </c>
      <c r="AI118" s="2" t="inlineStr">
        <is>
          <t>Free solar survey page; Trustpilot profile lists info@manchesterrenewables.co.uk; REC C member; services solar PV, EV charging, battery, heat pumps.</t>
        </is>
      </c>
      <c r="AJ118" s="2" t="inlineStr">
        <is>
          <t>Company website (survey page)</t>
        </is>
      </c>
      <c r="AK118" s="2" t="inlineStr">
        <is>
          <t>High</t>
        </is>
      </c>
      <c r="AL118" s="2" t="inlineStr">
        <is>
          <t>Ready</t>
        </is>
      </c>
      <c r="AM118" s="2" t="inlineStr">
        <is>
          <t>Not Sent</t>
        </is>
      </c>
      <c r="AN118" s="2" t="n"/>
      <c r="AO118" s="2" t="inlineStr">
        <is>
          <t>Batch 2 | Email source: https://uk.trustpilot.com/review/manchesterrenewables.co.uk</t>
        </is>
      </c>
    </row>
    <row r="119">
      <c r="A119" s="2" t="inlineStr"/>
      <c r="B119" s="2" t="inlineStr">
        <is>
          <t>Purelec Energy Ltd</t>
        </is>
      </c>
      <c r="C119" s="2" t="inlineStr"/>
      <c r="D119" s="2" t="inlineStr"/>
      <c r="E119" s="2" t="inlineStr">
        <is>
          <t>info@purelecenergy.co.uk</t>
        </is>
      </c>
      <c r="F119" s="2" t="inlineStr">
        <is>
          <t>United Kingdom</t>
        </is>
      </c>
      <c r="G119" s="2" t="inlineStr">
        <is>
          <t>West Yorkshire</t>
        </is>
      </c>
      <c r="H119" s="2" t="inlineStr">
        <is>
          <t>Wakefield</t>
        </is>
      </c>
      <c r="I119" s="2" t="inlineStr">
        <is>
          <t>https://purelecenergy.co.uk/</t>
        </is>
      </c>
      <c r="J119" s="2" t="inlineStr">
        <is>
          <t>Residential &amp; commercial solar installer</t>
        </is>
      </c>
      <c r="K119" s="2" t="inlineStr">
        <is>
          <t>Solar PV, battery storage, commercial electrical services, maintenance</t>
        </is>
      </c>
      <c r="L119" s="2" t="inlineStr">
        <is>
          <t>Residential &amp; Commercial</t>
        </is>
      </c>
      <c r="M119" s="2" t="inlineStr">
        <is>
          <t>Unknown</t>
        </is>
      </c>
      <c r="N119" s="2" t="inlineStr">
        <is>
          <t>Yorkshire (Wakefield, Huddersfield, Hull and surrounding)</t>
        </is>
      </c>
      <c r="O119" s="2" t="inlineStr">
        <is>
          <t>1 (Grange Moor, Wakefield)</t>
        </is>
      </c>
      <c r="P119" s="2" t="inlineStr">
        <is>
          <t>Unknown</t>
        </is>
      </c>
      <c r="Q119" s="2" t="inlineStr">
        <is>
          <t>Unknown</t>
        </is>
      </c>
      <c r="R119" s="2" t="inlineStr">
        <is>
          <t>Unknown</t>
        </is>
      </c>
      <c r="S119" s="2" t="inlineStr">
        <is>
          <t>Yes</t>
        </is>
      </c>
      <c r="T119" s="2" t="inlineStr">
        <is>
          <t>Unknown</t>
        </is>
      </c>
      <c r="U119" s="2" t="inlineStr">
        <is>
          <t>Phone + email; ongoing support/maintenance</t>
        </is>
      </c>
      <c r="V119" s="2" t="inlineStr">
        <is>
          <t>Website incl. online survey; town landing pages; phone; Facebook</t>
        </is>
      </c>
      <c r="W119" s="2" t="inlineStr">
        <is>
          <t>Online home solar panel survey page</t>
        </is>
      </c>
      <c r="X119" s="2" t="inlineStr">
        <is>
          <t>Multiple town landing pages (Wakefield, Hull etc.)</t>
        </is>
      </c>
      <c r="Y119" s="2" t="inlineStr">
        <is>
          <t>Online survey -&gt; design -&gt; installation -&gt; ongoing support</t>
        </is>
      </c>
      <c r="Z119" s="2" t="inlineStr">
        <is>
          <t>Online survey form feeding manual design/quote process</t>
        </is>
      </c>
      <c r="AA119" s="2" t="inlineStr">
        <is>
          <t>Quote follow up</t>
        </is>
      </c>
      <c r="AB119" s="2" t="inlineStr">
        <is>
          <t>Medium</t>
        </is>
      </c>
      <c r="AC119" s="2" t="inlineStr">
        <is>
          <t>Your site offers homeowners an online home solar panel survey.</t>
        </is>
      </c>
      <c r="AD119" s="2" t="inlineStr">
        <is>
          <t>Supports the quote follow up idea: Online survey form feeding manual design/quote process</t>
        </is>
      </c>
      <c r="AE119" s="2" t="inlineStr">
        <is>
          <t>I noticed your site offers homeowners an online home solar panel survey.</t>
        </is>
      </c>
      <c r="AF119" s="2" t="inlineStr">
        <is>
          <t>A solar quote follow up idea</t>
        </is>
      </c>
      <c r="AG119" s="2" t="inlineStr">
        <is>
          <t>Hi Purelec Energy Ltd team,
I noticed your site offers homeowners an online home solar panel survey.
I work with businesses on AI and workflow automation. For a solar company like Purelec Energy Ltd, after a quote goes out, a short sequence could check in by email or SMS, answer common questions and alert the salesperson when someone replies or opens it again.
Fewer quotes go quiet just because nobody had time to follow up.
Would it be useful if I showed you how this could work with your current setup?
Best,
[Sender Name]
AI Automation Specialist</t>
        </is>
      </c>
      <c r="AH119" s="2" t="inlineStr">
        <is>
          <t>https://purelecenergy.co.uk/contact</t>
        </is>
      </c>
      <c r="AI119" s="2" t="inlineStr">
        <is>
          <t>Contact page lists info@purelecenergy.co.uk, 01924 840 198; 'Online Home Solar Panel Survey' page; domestic &amp; commercial turnkey service.</t>
        </is>
      </c>
      <c r="AJ119" s="2" t="inlineStr">
        <is>
          <t>Company website (contact page)</t>
        </is>
      </c>
      <c r="AK119" s="2" t="inlineStr">
        <is>
          <t>High</t>
        </is>
      </c>
      <c r="AL119" s="2" t="inlineStr">
        <is>
          <t>Ready</t>
        </is>
      </c>
      <c r="AM119" s="2" t="inlineStr">
        <is>
          <t>Not Sent</t>
        </is>
      </c>
      <c r="AN119" s="2" t="n"/>
      <c r="AO119" s="2" t="inlineStr">
        <is>
          <t>Batch 2</t>
        </is>
      </c>
    </row>
    <row r="120">
      <c r="A120" s="2" t="inlineStr"/>
      <c r="B120" s="2" t="inlineStr">
        <is>
          <t>P4 Solar Ltd</t>
        </is>
      </c>
      <c r="C120" s="2" t="inlineStr"/>
      <c r="D120" s="2" t="inlineStr"/>
      <c r="E120" s="2" t="inlineStr">
        <is>
          <t>info@p4solar.co.uk</t>
        </is>
      </c>
      <c r="F120" s="2" t="inlineStr">
        <is>
          <t>United Kingdom</t>
        </is>
      </c>
      <c r="G120" s="2" t="inlineStr">
        <is>
          <t>West Yorkshire</t>
        </is>
      </c>
      <c r="H120" s="2" t="inlineStr">
        <is>
          <t>Keighley</t>
        </is>
      </c>
      <c r="I120" s="2" t="inlineStr">
        <is>
          <t>https://p4solar.co.uk/</t>
        </is>
      </c>
      <c r="J120" s="2" t="inlineStr">
        <is>
          <t>Solar &amp; battery installer</t>
        </is>
      </c>
      <c r="K120" s="2" t="inlineStr">
        <is>
          <t>Solar PV, battery storage, Tesla Powerwall</t>
        </is>
      </c>
      <c r="L120" s="2" t="inlineStr">
        <is>
          <t>Residential &amp; Commercial</t>
        </is>
      </c>
      <c r="M120" s="2" t="inlineStr">
        <is>
          <t>Team incl. business development, operations and finance managers (RocketReach listings)</t>
        </is>
      </c>
      <c r="N120" s="2" t="inlineStr">
        <is>
          <t>North of England (incl. Manchester, Yorkshire)</t>
        </is>
      </c>
      <c r="O120" s="2" t="inlineStr">
        <is>
          <t>Unknown</t>
        </is>
      </c>
      <c r="P120" s="2" t="inlineStr">
        <is>
          <t>Yes</t>
        </is>
      </c>
      <c r="Q120" s="2" t="inlineStr">
        <is>
          <t>Yes</t>
        </is>
      </c>
      <c r="R120" s="2" t="inlineStr">
        <is>
          <t>Unknown</t>
        </is>
      </c>
      <c r="S120" s="2" t="inlineStr">
        <is>
          <t>Unknown</t>
        </is>
      </c>
      <c r="T120" s="2" t="inlineStr">
        <is>
          <t>Unknown</t>
        </is>
      </c>
      <c r="U120" s="2" t="inlineStr">
        <is>
          <t>Phone + email</t>
        </is>
      </c>
      <c r="V120" s="2" t="inlineStr">
        <is>
          <t>Website; city landing pages; phone; Facebook; LinkedIn</t>
        </is>
      </c>
      <c r="W120" s="2" t="inlineStr">
        <is>
          <t>Business Development Manager listed; free consultation and fixed quote</t>
        </is>
      </c>
      <c r="X120" s="2" t="inlineStr">
        <is>
          <t>370-400+ 5-star reviews; covers North of England</t>
        </is>
      </c>
      <c r="Y120" s="2" t="inlineStr">
        <is>
          <t>Free consultation -&gt; bespoke design -&gt; fixed quote</t>
        </is>
      </c>
      <c r="Z120" s="2" t="inlineStr">
        <is>
          <t>Consultation and bespoke quote prepared manually</t>
        </is>
      </c>
      <c r="AA120" s="2" t="inlineStr">
        <is>
          <t>Review request automation</t>
        </is>
      </c>
      <c r="AB120" s="2" t="inlineStr">
        <is>
          <t>High</t>
        </is>
      </c>
      <c r="AC120" s="2" t="inlineStr">
        <is>
          <t>Your site highlights 400+ five-star reviews and certified Tesla Powerwall installation.</t>
        </is>
      </c>
      <c r="AD120" s="2" t="inlineStr">
        <is>
          <t>Supports the review request automation idea: Consultation and bespoke quote prepared manually</t>
        </is>
      </c>
      <c r="AE120" s="2" t="inlineStr">
        <is>
          <t>I noticed your site highlights 400+ five-star reviews and certified Tesla Powerwall installation.</t>
        </is>
      </c>
      <c r="AF120" s="2" t="inlineStr">
        <is>
          <t>Review requests at P4 Solar Ltd</t>
        </is>
      </c>
      <c r="AG120" s="2" t="inlineStr">
        <is>
          <t>Hi P4 Solar Ltd team,
I noticed your site highlights 400+ five-star reviews and certified Tesla Powerwall installation.
I work with businesses on AI and workflow automation. For a solar company like P4 Solar Ltd, after each install, customers could get a timed review request by email or SMS, with a reminder if they don't respond.
It builds steady reviews without anyone needing to remember to ask.
Would it be useful if I showed you how this could work with your current setup?
Best,
[Sender Name]
AI Automation Specialist</t>
        </is>
      </c>
      <c r="AH120" s="2" t="inlineStr">
        <is>
          <t>https://p4solar.co.uk/solar-panels-manchester</t>
        </is>
      </c>
      <c r="AI120" s="2" t="inlineStr">
        <is>
          <t>Contact page with info@p4solar.co.uk, 0333 344 63 69; Manchester page '370+ 5 Star Reviews'; Tesla Powerwall certified; 'Meet the team' page.</t>
        </is>
      </c>
      <c r="AJ120" s="2" t="inlineStr">
        <is>
          <t>Company website (contact page)</t>
        </is>
      </c>
      <c r="AK120" s="2" t="inlineStr">
        <is>
          <t>High</t>
        </is>
      </c>
      <c r="AL120" s="2" t="inlineStr">
        <is>
          <t>Ready</t>
        </is>
      </c>
      <c r="AM120" s="2" t="inlineStr">
        <is>
          <t>Not Sent</t>
        </is>
      </c>
      <c r="AN120" s="2" t="n"/>
      <c r="AO120" s="2" t="inlineStr">
        <is>
          <t>Batch 2 | Job titles from RocketReach, not company site, so no contact person listed. | Email source: https://p4solar.co.uk/contact-us/</t>
        </is>
      </c>
    </row>
    <row r="121">
      <c r="A121" s="2" t="inlineStr"/>
      <c r="B121" s="2" t="inlineStr">
        <is>
          <t>Geo Green Power Ltd</t>
        </is>
      </c>
      <c r="C121" s="2" t="inlineStr"/>
      <c r="D121" s="2" t="inlineStr"/>
      <c r="E121" s="2" t="inlineStr">
        <is>
          <t>info@geogreenpower.com</t>
        </is>
      </c>
      <c r="F121" s="2" t="inlineStr">
        <is>
          <t>United Kingdom</t>
        </is>
      </c>
      <c r="G121" s="2" t="inlineStr">
        <is>
          <t>Leicestershire</t>
        </is>
      </c>
      <c r="H121" s="2" t="inlineStr"/>
      <c r="I121" s="2" t="inlineStr">
        <is>
          <t>https://www.geogreenpower.com/</t>
        </is>
      </c>
      <c r="J121" s="2" t="inlineStr">
        <is>
          <t>Residential &amp; commercial solar installer</t>
        </is>
      </c>
      <c r="K121" s="2" t="inlineStr">
        <is>
          <t>Solar PV, commercial solar, heat pumps</t>
        </is>
      </c>
      <c r="L121" s="2" t="inlineStr">
        <is>
          <t>Residential &amp; Commercial</t>
        </is>
      </c>
      <c r="M121" s="2" t="inlineStr">
        <is>
          <t>Unknown</t>
        </is>
      </c>
      <c r="N121" s="2" t="inlineStr">
        <is>
          <t>UK-wide (pages for Leeds, Manchester and more)</t>
        </is>
      </c>
      <c r="O121" s="2" t="inlineStr">
        <is>
          <t>Multiple regional contact pages (e.g. Manchester)</t>
        </is>
      </c>
      <c r="P121" s="2" t="inlineStr">
        <is>
          <t>Yes</t>
        </is>
      </c>
      <c r="Q121" s="2" t="inlineStr">
        <is>
          <t>Unknown</t>
        </is>
      </c>
      <c r="R121" s="2" t="inlineStr">
        <is>
          <t>Unknown</t>
        </is>
      </c>
      <c r="S121" s="2" t="inlineStr">
        <is>
          <t>Yes</t>
        </is>
      </c>
      <c r="T121" s="2" t="inlineStr">
        <is>
          <t>Unknown</t>
        </is>
      </c>
      <c r="U121" s="2" t="inlineStr">
        <is>
          <t>Phone + email</t>
        </is>
      </c>
      <c r="V121" s="2" t="inlineStr">
        <is>
          <t>Website survey request form; regional landing pages; phone</t>
        </is>
      </c>
      <c r="W121" s="2" t="inlineStr">
        <is>
          <t>'Request a Renewable Energy Survey' contact page; quote thank-you page</t>
        </is>
      </c>
      <c r="X121" s="2" t="inlineStr">
        <is>
          <t>Regional pages across UK cities; client list page</t>
        </is>
      </c>
      <c r="Y121" s="2" t="inlineStr">
        <is>
          <t>Survey request -&gt; quote</t>
        </is>
      </c>
      <c r="Z121" s="2" t="inlineStr">
        <is>
          <t>Survey request form with manual follow-up</t>
        </is>
      </c>
      <c r="AA121" s="2" t="inlineStr">
        <is>
          <t>Lead routing</t>
        </is>
      </c>
      <c r="AB121" s="2" t="inlineStr">
        <is>
          <t>High</t>
        </is>
      </c>
      <c r="AC121" s="2" t="inlineStr">
        <is>
          <t>Your contact page lets visitors request a renewable energy survey online.</t>
        </is>
      </c>
      <c r="AD121" s="2" t="inlineStr">
        <is>
          <t>Supports the lead routing idea: Survey request form with manual follow-up</t>
        </is>
      </c>
      <c r="AE121" s="2" t="inlineStr">
        <is>
          <t>I came across Geo Green Power Ltd and noticed your contact page lets visitors request a renewable energy survey online.</t>
        </is>
      </c>
      <c r="AF121" s="2" t="inlineStr">
        <is>
          <t>A lead routing idea for Geo Green Power Ltd</t>
        </is>
      </c>
      <c r="AG121" s="2" t="inlineStr">
        <is>
          <t>Hi Geo Green Power Ltd team,
I came across Geo Green Power Ltd and noticed your contact page lets visitors request a renewable energy survey online.
I work with businesses on AI and workflow automation. For a solar company like Geo Green Power Ltd,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21" s="2" t="inlineStr">
        <is>
          <t>https://www.geogreenpower.com/contact/</t>
        </is>
      </c>
      <c r="AI121" s="2" t="inlineStr">
        <is>
          <t>Contact page 'Request a Renewable Energy Survey'; /contact/thank-you-contact/ 'Thank you for your quote'; commercial solar installers Leeds page. Email from search summary only.</t>
        </is>
      </c>
      <c r="AJ121" s="2" t="inlineStr">
        <is>
          <t>Company website (contact page)</t>
        </is>
      </c>
      <c r="AK121" s="2" t="inlineStr">
        <is>
          <t>Medium</t>
        </is>
      </c>
      <c r="AL121" s="2" t="inlineStr">
        <is>
          <t>Review</t>
        </is>
      </c>
      <c r="AM121" s="2" t="inlineStr">
        <is>
          <t>Not Sent</t>
        </is>
      </c>
      <c r="AN121" s="2" t="n"/>
      <c r="AO121" s="2" t="inlineStr">
        <is>
          <t>Batch 2 | Email not corroborated by exact-match search (search budget exhausted). HQ city not verified; 01509 number suggests Leicestershire area. | Email seen in search results but not independently corroborated; verify on website before sending.</t>
        </is>
      </c>
    </row>
    <row r="122">
      <c r="A122" s="2" t="inlineStr"/>
      <c r="B122" s="2" t="inlineStr">
        <is>
          <t>Core Renewable Solutions (Core Heating &amp; Electrical)</t>
        </is>
      </c>
      <c r="C122" s="2" t="inlineStr"/>
      <c r="D122" s="2" t="inlineStr"/>
      <c r="E122" s="2" t="inlineStr">
        <is>
          <t>coreheatingandelectrical@outlook.com</t>
        </is>
      </c>
      <c r="F122" s="2" t="inlineStr">
        <is>
          <t>United Kingdom</t>
        </is>
      </c>
      <c r="G122" s="2" t="inlineStr">
        <is>
          <t>Bristol</t>
        </is>
      </c>
      <c r="H122" s="2" t="inlineStr">
        <is>
          <t>Bristol</t>
        </is>
      </c>
      <c r="I122" s="2" t="inlineStr">
        <is>
          <t>https://corerenewablesolutions.co.uk/</t>
        </is>
      </c>
      <c r="J122" s="2" t="inlineStr">
        <is>
          <t>Residential &amp; commercial solar installer</t>
        </is>
      </c>
      <c r="K122" s="2" t="inlineStr">
        <is>
          <t>Solar PV, heating, electrical</t>
        </is>
      </c>
      <c r="L122" s="2" t="inlineStr">
        <is>
          <t>Residential &amp; Commercial</t>
        </is>
      </c>
      <c r="M122" s="2" t="inlineStr">
        <is>
          <t>Unknown</t>
        </is>
      </c>
      <c r="N122" s="2" t="inlineStr">
        <is>
          <t>Bristol and the South West</t>
        </is>
      </c>
      <c r="O122" s="2" t="inlineStr">
        <is>
          <t>1 (Bristol)</t>
        </is>
      </c>
      <c r="P122" s="2" t="inlineStr">
        <is>
          <t>Unknown</t>
        </is>
      </c>
      <c r="Q122" s="2" t="inlineStr">
        <is>
          <t>Unknown</t>
        </is>
      </c>
      <c r="R122" s="2" t="inlineStr">
        <is>
          <t>Unknown</t>
        </is>
      </c>
      <c r="S122" s="2" t="inlineStr">
        <is>
          <t>Unknown</t>
        </is>
      </c>
      <c r="T122" s="2" t="inlineStr">
        <is>
          <t>Unknown</t>
        </is>
      </c>
      <c r="U122" s="2" t="inlineStr">
        <is>
          <t>Phone + email</t>
        </is>
      </c>
      <c r="V122" s="2" t="inlineStr">
        <is>
          <t>Website; phone</t>
        </is>
      </c>
      <c r="W122" s="2" t="inlineStr">
        <is>
          <t>None found</t>
        </is>
      </c>
      <c r="X122" s="2" t="inlineStr">
        <is>
          <t>None found</t>
        </is>
      </c>
      <c r="Y122" s="2" t="inlineStr">
        <is>
          <t>None found</t>
        </is>
      </c>
      <c r="Z122" s="2" t="inlineStr">
        <is>
          <t>Phone/email enquiries</t>
        </is>
      </c>
      <c r="AA122" s="2" t="inlineStr">
        <is>
          <t>Missed lead recovery</t>
        </is>
      </c>
      <c r="AB122" s="2" t="inlineStr">
        <is>
          <t>Low</t>
        </is>
      </c>
      <c r="AC122" s="2" t="inlineStr">
        <is>
          <t>Your site presents you as MCS-certified solar installers for homes and businesses across Bristol and the South West.</t>
        </is>
      </c>
      <c r="AD122" s="2" t="inlineStr">
        <is>
          <t>Supports the missed lead recovery idea: Phone/email enquiries</t>
        </is>
      </c>
      <c r="AE122" s="2" t="inlineStr">
        <is>
          <t>I noticed your site presents you as MCS-certified solar installers for homes and businesses across Bristol and the South West.</t>
        </is>
      </c>
      <c r="AF122" s="2" t="inlineStr">
        <is>
          <t>Solar lead follow up idea</t>
        </is>
      </c>
      <c r="AG122" s="2" t="inlineStr">
        <is>
          <t>Hi Core Renewable Solutions (Core Heating &amp; Electrical) team,
I noticed your site presents you as MCS-certified solar installers for homes and businesses across Bristol and the South West.
I work with businesses on AI and workflow automation. For a solar company like Core Renewable Solutions (Core Heating &amp; Electrical),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122" s="2" t="inlineStr">
        <is>
          <t>https://corerenewablesolutions.co.uk/solar-panel-installers/</t>
        </is>
      </c>
      <c r="AI122" s="2" t="inlineStr">
        <is>
          <t>MCS-certified solar installers page for Bristol; outlook.com address from search summary.</t>
        </is>
      </c>
      <c r="AJ122" s="2" t="inlineStr">
        <is>
          <t>Company website (service page)</t>
        </is>
      </c>
      <c r="AK122" s="2" t="inlineStr">
        <is>
          <t>Low</t>
        </is>
      </c>
      <c r="AL122" s="2" t="inlineStr">
        <is>
          <t>Review</t>
        </is>
      </c>
      <c r="AM122" s="2" t="inlineStr">
        <is>
          <t>Not Sent</t>
        </is>
      </c>
      <c r="AN122" s="2" t="n"/>
      <c r="AO122" s="2" t="inlineStr">
        <is>
          <t>Batch 2 | Only a free-webmail address found (outlook.com), not corroborated. | Email is on a free webmail domain; confirm it is the business's published address.</t>
        </is>
      </c>
    </row>
    <row r="123">
      <c r="A123" s="2" t="inlineStr"/>
      <c r="B123" s="2" t="inlineStr">
        <is>
          <t>Integral Solar Solutions</t>
        </is>
      </c>
      <c r="C123" s="2" t="inlineStr"/>
      <c r="D123" s="2" t="inlineStr"/>
      <c r="E123" s="2" t="inlineStr"/>
      <c r="F123" s="2" t="inlineStr">
        <is>
          <t>United Kingdom</t>
        </is>
      </c>
      <c r="G123" s="2" t="inlineStr">
        <is>
          <t>Merseyside</t>
        </is>
      </c>
      <c r="H123" s="2" t="inlineStr">
        <is>
          <t>St Helens</t>
        </is>
      </c>
      <c r="I123" s="2" t="inlineStr">
        <is>
          <t>https://integralsolar.co.uk/</t>
        </is>
      </c>
      <c r="J123" s="2" t="inlineStr">
        <is>
          <t>Residential &amp; commercial solar installer</t>
        </is>
      </c>
      <c r="K123" s="2" t="inlineStr">
        <is>
          <t>Solar PV</t>
        </is>
      </c>
      <c r="L123" s="2" t="inlineStr">
        <is>
          <t>Residential &amp; Commercial</t>
        </is>
      </c>
      <c r="M123" s="2" t="inlineStr">
        <is>
          <t>25+ years experience; 1,000+ customers (per site)</t>
        </is>
      </c>
      <c r="N123" s="2" t="inlineStr">
        <is>
          <t>UK-wide</t>
        </is>
      </c>
      <c r="O123" s="2" t="inlineStr">
        <is>
          <t>1 (St Helens)</t>
        </is>
      </c>
      <c r="P123" s="2" t="inlineStr">
        <is>
          <t>Yes</t>
        </is>
      </c>
      <c r="Q123" s="2" t="inlineStr">
        <is>
          <t>Yes</t>
        </is>
      </c>
      <c r="R123" s="2" t="inlineStr">
        <is>
          <t>Unknown</t>
        </is>
      </c>
      <c r="S123" s="2" t="inlineStr">
        <is>
          <t>Unknown</t>
        </is>
      </c>
      <c r="T123" s="2" t="inlineStr">
        <is>
          <t>Unknown</t>
        </is>
      </c>
      <c r="U123" s="2" t="inlineStr">
        <is>
          <t>Phone</t>
        </is>
      </c>
      <c r="V123" s="2" t="inlineStr">
        <is>
          <t>Website quote form; city landing pages; Facebook; Trustpilot</t>
        </is>
      </c>
      <c r="W123" s="2" t="inlineStr">
        <is>
          <t>Free no-obligation site survey</t>
        </is>
      </c>
      <c r="X123" s="2" t="inlineStr">
        <is>
          <t>1,000+ customers; UK-wide coverage</t>
        </is>
      </c>
      <c r="Y123" s="2" t="inlineStr">
        <is>
          <t>Quote request -&gt; free site survey</t>
        </is>
      </c>
      <c r="Z123" s="2" t="inlineStr">
        <is>
          <t>Contact/quote page with phone follow-up to arrange survey</t>
        </is>
      </c>
      <c r="AA123" s="2" t="inlineStr">
        <is>
          <t>Site survey scheduling</t>
        </is>
      </c>
      <c r="AB123" s="2" t="inlineStr">
        <is>
          <t>Medium</t>
        </is>
      </c>
      <c r="AC123" s="2" t="inlineStr">
        <is>
          <t>Your contact page offers a free solar quote and no-obligation site survey.</t>
        </is>
      </c>
      <c r="AD123" s="2" t="inlineStr">
        <is>
          <t>Supports the site survey scheduling idea: Contact/quote page with phone follow-up to arrange survey</t>
        </is>
      </c>
      <c r="AE123" s="2" t="inlineStr">
        <is>
          <t>I was looking at your website and saw that your contact page offers a free solar quote and no-obligation site survey.</t>
        </is>
      </c>
      <c r="AF123" s="2" t="inlineStr">
        <is>
          <t>Survey bookings at Integral Solar Solutions</t>
        </is>
      </c>
      <c r="AG123" s="2" t="inlineStr">
        <is>
          <t>Hi Integral Solar Solutions team,
I was looking at your website and saw that your contact page offers a free solar quote and no-obligation site survey.
I work with businesses on AI and workflow automation. For a solar company like Integral Solar Solutions, once a lead is qualified, a workflow could offer survey slots, confirm the address and roof details, send reminders and notify the surveyor.
It keeps surveys moving without someone chasing each one by phone.
Would it be useful if I showed you how this could work with your current setup?
Best,
[Sender Name]
AI Automation Specialist</t>
        </is>
      </c>
      <c r="AH123" s="2" t="inlineStr">
        <is>
          <t>https://integralsolar.co.uk/contact</t>
        </is>
      </c>
      <c r="AI123" s="2" t="inlineStr">
        <is>
          <t>Contact page titled 'Get a Free Solar Quote'; phone 0333 241 4320; email obfuscated in results.</t>
        </is>
      </c>
      <c r="AJ123" s="2" t="inlineStr">
        <is>
          <t>Company website (contact page)</t>
        </is>
      </c>
      <c r="AK123" s="2" t="inlineStr">
        <is>
          <t>Medium</t>
        </is>
      </c>
      <c r="AL123" s="2" t="inlineStr">
        <is>
          <t>Reject</t>
        </is>
      </c>
      <c r="AM123" s="2" t="inlineStr">
        <is>
          <t>Not Sent</t>
        </is>
      </c>
      <c r="AN123" s="2" t="n"/>
      <c r="AO123" s="2" t="inlineStr">
        <is>
          <t>Batch 2 | Email hidden/obfuscated in search results. | No publicly verified business email found.</t>
        </is>
      </c>
    </row>
    <row r="124">
      <c r="A124" s="2" t="inlineStr"/>
      <c r="B124" s="2" t="inlineStr">
        <is>
          <t>South Scotland Solar Ltd</t>
        </is>
      </c>
      <c r="C124" s="2" t="inlineStr"/>
      <c r="D124" s="2" t="inlineStr"/>
      <c r="E124" s="2" t="inlineStr"/>
      <c r="F124" s="2" t="inlineStr">
        <is>
          <t>United Kingdom</t>
        </is>
      </c>
      <c r="G124" s="2" t="inlineStr">
        <is>
          <t>Scottish Borders</t>
        </is>
      </c>
      <c r="H124" s="2" t="inlineStr">
        <is>
          <t>Melrose</t>
        </is>
      </c>
      <c r="I124" s="2" t="inlineStr">
        <is>
          <t>https://southscotlandsolarltd.co.uk/</t>
        </is>
      </c>
      <c r="J124" s="2" t="inlineStr">
        <is>
          <t>Residential solar installer</t>
        </is>
      </c>
      <c r="K124" s="2" t="inlineStr">
        <is>
          <t>Solar PV</t>
        </is>
      </c>
      <c r="L124" s="2" t="inlineStr">
        <is>
          <t>Residential</t>
        </is>
      </c>
      <c r="M124" s="2" t="inlineStr">
        <is>
          <t>Unknown</t>
        </is>
      </c>
      <c r="N124" s="2" t="inlineStr">
        <is>
          <t>Scottish Borders and Edinburgh</t>
        </is>
      </c>
      <c r="O124" s="2" t="inlineStr">
        <is>
          <t>1 (Melrose) + Edinburgh phone line</t>
        </is>
      </c>
      <c r="P124" s="2" t="inlineStr">
        <is>
          <t>Unknown</t>
        </is>
      </c>
      <c r="Q124" s="2" t="inlineStr">
        <is>
          <t>Unknown</t>
        </is>
      </c>
      <c r="R124" s="2" t="inlineStr">
        <is>
          <t>Unknown</t>
        </is>
      </c>
      <c r="S124" s="2" t="inlineStr">
        <is>
          <t>Unknown</t>
        </is>
      </c>
      <c r="T124" s="2" t="inlineStr">
        <is>
          <t>Unknown</t>
        </is>
      </c>
      <c r="U124" s="2" t="inlineStr">
        <is>
          <t>Phone</t>
        </is>
      </c>
      <c r="V124" s="2" t="inlineStr">
        <is>
          <t>Website contact page; phone</t>
        </is>
      </c>
      <c r="W124" s="2" t="inlineStr">
        <is>
          <t>None found</t>
        </is>
      </c>
      <c r="X124" s="2" t="inlineStr">
        <is>
          <t>None found</t>
        </is>
      </c>
      <c r="Y124" s="2" t="inlineStr">
        <is>
          <t>None found</t>
        </is>
      </c>
      <c r="Z124" s="2" t="inlineStr">
        <is>
          <t>Contact page with phone enquiries</t>
        </is>
      </c>
      <c r="AA124" s="2" t="inlineStr">
        <is>
          <t>Missed lead recovery</t>
        </is>
      </c>
      <c r="AB124" s="2" t="inlineStr">
        <is>
          <t>Low</t>
        </is>
      </c>
      <c r="AC124" s="2" t="inlineStr">
        <is>
          <t>Your site lists separate Scottish Borders and Edinburgh phone numbers for enquiries.</t>
        </is>
      </c>
      <c r="AD124" s="2" t="inlineStr">
        <is>
          <t>Supports the missed lead recovery idea: Contact page with phone enquiries</t>
        </is>
      </c>
      <c r="AE124" s="2" t="inlineStr">
        <is>
          <t>I came across South Scotland Solar Ltd and noticed your site lists separate Scottish Borders and Edinburgh phone numbers for enquiries.</t>
        </is>
      </c>
      <c r="AF124" s="2" t="inlineStr">
        <is>
          <t>Missed solar leads at South Scotland Solar Ltd</t>
        </is>
      </c>
      <c r="AG124" s="2" t="inlineStr">
        <is>
          <t>Hi South Scotland Solar Ltd team,
I came across South Scotland Solar Ltd and noticed your site lists separate Scottish Borders and Edinburgh phone numbers for enquiries.
I work with businesses on AI and workflow automation. For a solar company like South Scotland Solar Ltd,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124" s="2" t="inlineStr">
        <is>
          <t>https://southscotlandsolarltd.co.uk/contact-us/</t>
        </is>
      </c>
      <c r="AI124" s="2" t="inlineStr">
        <is>
          <t>Contact page; phones 01896 953154 and 0131 381 6366; email obfuscated in results.</t>
        </is>
      </c>
      <c r="AJ124" s="2" t="inlineStr">
        <is>
          <t>Company website (contact page)</t>
        </is>
      </c>
      <c r="AK124" s="2" t="inlineStr">
        <is>
          <t>Medium</t>
        </is>
      </c>
      <c r="AL124" s="2" t="inlineStr">
        <is>
          <t>Reject</t>
        </is>
      </c>
      <c r="AM124" s="2" t="inlineStr">
        <is>
          <t>Not Sent</t>
        </is>
      </c>
      <c r="AN124" s="2" t="n"/>
      <c r="AO124" s="2" t="inlineStr">
        <is>
          <t>Batch 2 | Email hidden/obfuscated in search results. | No publicly verified business email found.</t>
        </is>
      </c>
    </row>
    <row r="125">
      <c r="A125" s="2" t="inlineStr"/>
      <c r="B125" s="2" t="inlineStr">
        <is>
          <t>Energus</t>
        </is>
      </c>
      <c r="C125" s="2" t="inlineStr"/>
      <c r="D125" s="2" t="inlineStr"/>
      <c r="E125" s="2" t="inlineStr">
        <is>
          <t>info@energus.com.au</t>
        </is>
      </c>
      <c r="F125" s="2" t="inlineStr">
        <is>
          <t>Australia</t>
        </is>
      </c>
      <c r="G125" s="2" t="inlineStr">
        <is>
          <t>NSW</t>
        </is>
      </c>
      <c r="H125" s="2" t="inlineStr">
        <is>
          <t>North Sydney</t>
        </is>
      </c>
      <c r="I125" s="2" t="inlineStr">
        <is>
          <t>https://energus.com.au/</t>
        </is>
      </c>
      <c r="J125" s="2" t="inlineStr">
        <is>
          <t>Commercial solar &amp; battery installer</t>
        </is>
      </c>
      <c r="K125" s="2" t="inlineStr">
        <is>
          <t>Commercial solar PV, battery storage</t>
        </is>
      </c>
      <c r="L125" s="2" t="inlineStr">
        <is>
          <t>Commercial</t>
        </is>
      </c>
      <c r="M125" s="2" t="inlineStr">
        <is>
          <t>Unknown</t>
        </is>
      </c>
      <c r="N125" s="2" t="inlineStr">
        <is>
          <t>Sydney / NSW</t>
        </is>
      </c>
      <c r="O125" s="2" t="inlineStr">
        <is>
          <t>1 (North Sydney, NSW)</t>
        </is>
      </c>
      <c r="P125" s="2" t="inlineStr">
        <is>
          <t>Yes</t>
        </is>
      </c>
      <c r="Q125" s="2" t="inlineStr">
        <is>
          <t>Unknown</t>
        </is>
      </c>
      <c r="R125" s="2" t="inlineStr">
        <is>
          <t>Unknown</t>
        </is>
      </c>
      <c r="S125" s="2" t="inlineStr">
        <is>
          <t>Yes</t>
        </is>
      </c>
      <c r="T125" s="2" t="inlineStr">
        <is>
          <t>Unknown</t>
        </is>
      </c>
      <c r="U125" s="2" t="inlineStr">
        <is>
          <t>Phone + email</t>
        </is>
      </c>
      <c r="V125" s="2" t="inlineStr">
        <is>
          <t>Website; phone; email</t>
        </is>
      </c>
      <c r="W125" s="2" t="inlineStr">
        <is>
          <t>None found</t>
        </is>
      </c>
      <c r="X125" s="2" t="inlineStr">
        <is>
          <t>None found</t>
        </is>
      </c>
      <c r="Y125" s="2" t="inlineStr">
        <is>
          <t>None found</t>
        </is>
      </c>
      <c r="Z125" s="2" t="inlineStr">
        <is>
          <t>Website contact/quote enquiry followed by phone/email follow-up</t>
        </is>
      </c>
      <c r="AA125" s="2" t="inlineStr">
        <is>
          <t>Quote request automation</t>
        </is>
      </c>
      <c r="AB125" s="2" t="inlineStr">
        <is>
          <t>Medium</t>
        </is>
      </c>
      <c r="AC125" s="2" t="inlineStr">
        <is>
          <t>Your contact page offers businesses a free commercial solar quote.</t>
        </is>
      </c>
      <c r="AD125" s="2" t="inlineStr">
        <is>
          <t>Supports the quote request automation idea: Website contact/quote enquiry followed by phone/email follow-up</t>
        </is>
      </c>
      <c r="AE125" s="2" t="inlineStr">
        <is>
          <t>I noticed your contact page offers businesses a free commercial solar quote.</t>
        </is>
      </c>
      <c r="AF125" s="2" t="inlineStr">
        <is>
          <t>Quote requests at Energus</t>
        </is>
      </c>
      <c r="AG125" s="2" t="inlineStr">
        <is>
          <t>Hi Energus team,
I noticed your contact page offers businesses a free commercial solar quote.
I work with businesses on AI and workflow automation. For a solar company like Energus,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25" s="2" t="inlineStr">
        <is>
          <t>https://energus.com.au/contact/</t>
        </is>
      </c>
      <c r="AI125" s="2" t="inlineStr">
        <is>
          <t>Contact page titled 'Contact - commercial solar and battery installer - free solar quote'; address Suite 901, 153 Walker St, North Sydney; phone 1300 090 187.</t>
        </is>
      </c>
      <c r="AJ125" s="2" t="inlineStr">
        <is>
          <t>Company website (contact page)</t>
        </is>
      </c>
      <c r="AK125" s="2" t="inlineStr">
        <is>
          <t>Medium</t>
        </is>
      </c>
      <c r="AL125" s="2" t="inlineStr">
        <is>
          <t>Review</t>
        </is>
      </c>
      <c r="AM125" s="2" t="inlineStr">
        <is>
          <t>Not Sent</t>
        </is>
      </c>
      <c r="AN125" s="2" t="n"/>
      <c r="AO125" s="2" t="inlineStr">
        <is>
          <t>Batch 2 | Email seen in search-result summary only; exact-match verification search could not be run (session web search budget exhausted). | Email seen in search results but not independently corroborated; verify on website before sending.</t>
        </is>
      </c>
    </row>
    <row r="126">
      <c r="A126" s="2" t="inlineStr"/>
      <c r="B126" s="2" t="inlineStr">
        <is>
          <t>Electrifying Australia</t>
        </is>
      </c>
      <c r="C126" s="2" t="inlineStr"/>
      <c r="D126" s="2" t="inlineStr"/>
      <c r="E126" s="2" t="inlineStr">
        <is>
          <t>info@electrifyingaustralia.com.au</t>
        </is>
      </c>
      <c r="F126" s="2" t="inlineStr">
        <is>
          <t>Australia</t>
        </is>
      </c>
      <c r="G126" s="2" t="inlineStr">
        <is>
          <t>NSW</t>
        </is>
      </c>
      <c r="H126" s="2" t="inlineStr">
        <is>
          <t>Smithfield</t>
        </is>
      </c>
      <c r="I126" s="2" t="inlineStr">
        <is>
          <t>https://electrifyingaustralia.com.au/</t>
        </is>
      </c>
      <c r="J126" s="2" t="inlineStr">
        <is>
          <t>Residential &amp; commercial solar installer</t>
        </is>
      </c>
      <c r="K126" s="2" t="inlineStr">
        <is>
          <t>Solar PV, battery storage</t>
        </is>
      </c>
      <c r="L126" s="2" t="inlineStr">
        <is>
          <t>Residential &amp; Commercial</t>
        </is>
      </c>
      <c r="M126" s="2" t="inlineStr">
        <is>
          <t>Unknown</t>
        </is>
      </c>
      <c r="N126" s="2" t="inlineStr">
        <is>
          <t>Sydney</t>
        </is>
      </c>
      <c r="O126" s="2" t="inlineStr">
        <is>
          <t>1 (Smithfield, NSW)</t>
        </is>
      </c>
      <c r="P126" s="2" t="inlineStr">
        <is>
          <t>Unknown</t>
        </is>
      </c>
      <c r="Q126" s="2" t="inlineStr">
        <is>
          <t>Unknown</t>
        </is>
      </c>
      <c r="R126" s="2" t="inlineStr">
        <is>
          <t>Unknown</t>
        </is>
      </c>
      <c r="S126" s="2" t="inlineStr">
        <is>
          <t>Unknown</t>
        </is>
      </c>
      <c r="T126" s="2" t="inlineStr">
        <is>
          <t>Unknown</t>
        </is>
      </c>
      <c r="U126" s="2" t="inlineStr">
        <is>
          <t>Phone + email</t>
        </is>
      </c>
      <c r="V126" s="2" t="inlineStr">
        <is>
          <t>Website; phone; email</t>
        </is>
      </c>
      <c r="W126" s="2" t="inlineStr">
        <is>
          <t>None found</t>
        </is>
      </c>
      <c r="X126" s="2" t="inlineStr">
        <is>
          <t>None found</t>
        </is>
      </c>
      <c r="Y126" s="2" t="inlineStr">
        <is>
          <t>None found</t>
        </is>
      </c>
      <c r="Z126" s="2" t="inlineStr">
        <is>
          <t>Website contact/quote enquiry followed by phone/email follow-up</t>
        </is>
      </c>
      <c r="AA126" s="2" t="inlineStr">
        <is>
          <t>Quote request automation</t>
        </is>
      </c>
      <c r="AB126" s="2" t="inlineStr">
        <is>
          <t>Medium</t>
        </is>
      </c>
      <c r="AC126" s="2" t="inlineStr">
        <is>
          <t>Your contact page lists both residential and commercial solar installation from your Smithfield base.</t>
        </is>
      </c>
      <c r="AD126" s="2" t="inlineStr">
        <is>
          <t>Supports the quote request automation idea: Website contact/quote enquiry followed by phone/email follow-up</t>
        </is>
      </c>
      <c r="AE126" s="2" t="inlineStr">
        <is>
          <t>I was looking at your website and saw that your contact page lists both residential and commercial solar installation from your Smithfield base.</t>
        </is>
      </c>
      <c r="AF126" s="2" t="inlineStr">
        <is>
          <t>A solar quote workflow idea</t>
        </is>
      </c>
      <c r="AG126" s="2" t="inlineStr">
        <is>
          <t>Hi Electrifying Australia team,
I was looking at your website and saw that your contact page lists both residential and commercial solar installation from your Smithfield base.
I work with businesses on AI and workflow automation. For a solar company like Electrifying Australia,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26" s="2" t="inlineStr">
        <is>
          <t>https://electrifyingaustralia.com.au/contact/contact</t>
        </is>
      </c>
      <c r="AI126" s="2" t="inlineStr">
        <is>
          <t>Contact page title 'Residential &amp; Commercial Solar Installers'; address 142 Gipps Rd, Smithfield; phone 1800 788 638.</t>
        </is>
      </c>
      <c r="AJ126" s="2" t="inlineStr">
        <is>
          <t>Company website (contact page)</t>
        </is>
      </c>
      <c r="AK126" s="2" t="inlineStr">
        <is>
          <t>Medium</t>
        </is>
      </c>
      <c r="AL126" s="2" t="inlineStr">
        <is>
          <t>Review</t>
        </is>
      </c>
      <c r="AM126" s="2" t="inlineStr">
        <is>
          <t>Not Sent</t>
        </is>
      </c>
      <c r="AN126" s="2" t="n"/>
      <c r="AO126" s="2" t="inlineStr">
        <is>
          <t>Batch 2 | Email seen in search-result summary only; exact-match verification search could not be run (session web search budget exhausted). | Email seen in search results but not independently corroborated; verify on website before sending.</t>
        </is>
      </c>
    </row>
    <row r="127">
      <c r="A127" s="2" t="inlineStr"/>
      <c r="B127" s="2" t="inlineStr">
        <is>
          <t>Aussie Solar Batteries</t>
        </is>
      </c>
      <c r="C127" s="2" t="inlineStr"/>
      <c r="D127" s="2" t="inlineStr"/>
      <c r="E127" s="2" t="inlineStr">
        <is>
          <t>sales@aussiesolarbatteries.com.au</t>
        </is>
      </c>
      <c r="F127" s="2" t="inlineStr">
        <is>
          <t>Australia</t>
        </is>
      </c>
      <c r="G127" s="2" t="inlineStr"/>
      <c r="H127" s="2" t="inlineStr"/>
      <c r="I127" s="2" t="inlineStr">
        <is>
          <t>https://www.aussiesolarbatteries.com.au/</t>
        </is>
      </c>
      <c r="J127" s="2" t="inlineStr">
        <is>
          <t>Solar &amp; battery installer</t>
        </is>
      </c>
      <c r="K127" s="2" t="inlineStr">
        <is>
          <t>Solar battery storage, solar PV</t>
        </is>
      </c>
      <c r="L127" s="2" t="inlineStr">
        <is>
          <t>Residential</t>
        </is>
      </c>
      <c r="M127" s="2" t="inlineStr">
        <is>
          <t>Unknown</t>
        </is>
      </c>
      <c r="N127" s="2" t="inlineStr">
        <is>
          <t>Australia (per site claim)</t>
        </is>
      </c>
      <c r="O127" s="2" t="inlineStr">
        <is>
          <t>Unknown</t>
        </is>
      </c>
      <c r="P127" s="2" t="inlineStr">
        <is>
          <t>Unknown</t>
        </is>
      </c>
      <c r="Q127" s="2" t="inlineStr">
        <is>
          <t>Unknown</t>
        </is>
      </c>
      <c r="R127" s="2" t="inlineStr">
        <is>
          <t>Unknown</t>
        </is>
      </c>
      <c r="S127" s="2" t="inlineStr">
        <is>
          <t>Unknown</t>
        </is>
      </c>
      <c r="T127" s="2" t="inlineStr">
        <is>
          <t>Unknown</t>
        </is>
      </c>
      <c r="U127" s="2" t="inlineStr">
        <is>
          <t>Phone + email</t>
        </is>
      </c>
      <c r="V127" s="2" t="inlineStr">
        <is>
          <t>Website; phone; email</t>
        </is>
      </c>
      <c r="W127" s="2" t="inlineStr">
        <is>
          <t>None found</t>
        </is>
      </c>
      <c r="X127" s="2" t="inlineStr">
        <is>
          <t>Self-described as Australia's largest solar battery installer (marketing claim)</t>
        </is>
      </c>
      <c r="Y127" s="2" t="inlineStr">
        <is>
          <t>None found</t>
        </is>
      </c>
      <c r="Z127" s="2" t="inlineStr">
        <is>
          <t>Website contact/quote enquiry followed by phone/email follow-up</t>
        </is>
      </c>
      <c r="AA127" s="2" t="inlineStr">
        <is>
          <t>Lead qualification chatbot</t>
        </is>
      </c>
      <c r="AB127" s="2" t="inlineStr">
        <is>
          <t>Medium</t>
        </is>
      </c>
      <c r="AC127" s="2" t="inlineStr">
        <is>
          <t>Your homepage positions you as Australia's largest solar battery installer.</t>
        </is>
      </c>
      <c r="AD127" s="2" t="inlineStr">
        <is>
          <t>Supports the lead qualification chatbot idea: Website contact/quote enquiry followed by phone/email follow-up</t>
        </is>
      </c>
      <c r="AE127" s="2" t="inlineStr">
        <is>
          <t>I came across Aussie Solar Batteries and noticed your homepage positions you as Australia's largest solar battery installer.</t>
        </is>
      </c>
      <c r="AF127" s="2" t="inlineStr">
        <is>
          <t>A lead qualification idea for Aussie Solar Batteries</t>
        </is>
      </c>
      <c r="AG127" s="2" t="inlineStr">
        <is>
          <t>Hi Aussie Solar Batteries team,
I came across Aussie Solar Batteries and noticed your homepage positions you as Australia's largest solar battery installer.
I work with businesses on AI and workflow automation. For a solar company like Aussie Solar Batteries,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27" s="2" t="inlineStr">
        <is>
          <t>https://www.aussiesolarbatteries.com.au/</t>
        </is>
      </c>
      <c r="AI127" s="2" t="inlineStr">
        <is>
          <t>Homepage title claims 'Australia's Largest Solar Battery Installer'; phone 1800 975 270.</t>
        </is>
      </c>
      <c r="AJ127" s="2" t="inlineStr">
        <is>
          <t>Company website (homepage)</t>
        </is>
      </c>
      <c r="AK127" s="2" t="inlineStr">
        <is>
          <t>Low</t>
        </is>
      </c>
      <c r="AL127" s="2" t="inlineStr">
        <is>
          <t>Review</t>
        </is>
      </c>
      <c r="AM127" s="2" t="inlineStr">
        <is>
          <t>Not Sent</t>
        </is>
      </c>
      <c r="AN127" s="2" t="n"/>
      <c r="AO127" s="2" t="inlineStr">
        <is>
          <t>Batch 2 | Email seen in search-result summary only; exact-match verification search could not be run (session web search budget exhausted). HQ state not confirmed. | Email seen in search results but not independently corroborated; verify on website before sending.</t>
        </is>
      </c>
    </row>
    <row r="128">
      <c r="A128" s="2" t="inlineStr"/>
      <c r="B128" s="2" t="inlineStr">
        <is>
          <t>EPC Renewables (formerly EPC Solar)</t>
        </is>
      </c>
      <c r="C128" s="2" t="inlineStr"/>
      <c r="D128" s="2" t="inlineStr"/>
      <c r="E128" s="2" t="inlineStr">
        <is>
          <t>sales@epcsolar.com.au</t>
        </is>
      </c>
      <c r="F128" s="2" t="inlineStr">
        <is>
          <t>Australia</t>
        </is>
      </c>
      <c r="G128" s="2" t="inlineStr">
        <is>
          <t>NSW</t>
        </is>
      </c>
      <c r="H128" s="2" t="inlineStr">
        <is>
          <t>Manly</t>
        </is>
      </c>
      <c r="I128" s="2" t="inlineStr">
        <is>
          <t>https://www.epcsolar.com.au/</t>
        </is>
      </c>
      <c r="J128" s="2" t="inlineStr">
        <is>
          <t>Commercial solar EPC</t>
        </is>
      </c>
      <c r="K128" s="2" t="inlineStr">
        <is>
          <t>Commercial &amp; utility-scale solar PV, BESS</t>
        </is>
      </c>
      <c r="L128" s="2" t="inlineStr">
        <is>
          <t>Commercial</t>
        </is>
      </c>
      <c r="M128" s="2" t="inlineStr">
        <is>
          <t>Unknown</t>
        </is>
      </c>
      <c r="N128" s="2" t="inlineStr">
        <is>
          <t>NSW &amp; QLD (Australia)</t>
        </is>
      </c>
      <c r="O128" s="2" t="inlineStr">
        <is>
          <t>2 (Manly NSW; Brisbane QLD)</t>
        </is>
      </c>
      <c r="P128" s="2" t="inlineStr">
        <is>
          <t>Unknown</t>
        </is>
      </c>
      <c r="Q128" s="2" t="inlineStr">
        <is>
          <t>Unknown</t>
        </is>
      </c>
      <c r="R128" s="2" t="inlineStr">
        <is>
          <t>Unknown</t>
        </is>
      </c>
      <c r="S128" s="2" t="inlineStr">
        <is>
          <t>Unknown</t>
        </is>
      </c>
      <c r="T128" s="2" t="inlineStr">
        <is>
          <t>Unknown</t>
        </is>
      </c>
      <c r="U128" s="2" t="inlineStr">
        <is>
          <t>Phone + email</t>
        </is>
      </c>
      <c r="V128" s="2" t="inlineStr">
        <is>
          <t>Website; phone; email</t>
        </is>
      </c>
      <c r="W128" s="2" t="inlineStr">
        <is>
          <t>Dedicated sales@ mailbox listed</t>
        </is>
      </c>
      <c r="X128" s="2" t="inlineStr">
        <is>
          <t>Offices in Sydney and Brisbane; utility-scale projects</t>
        </is>
      </c>
      <c r="Y128" s="2" t="inlineStr">
        <is>
          <t>None found</t>
        </is>
      </c>
      <c r="Z128" s="2" t="inlineStr">
        <is>
          <t>Website contact/quote enquiry followed by phone/email follow-up</t>
        </is>
      </c>
      <c r="AA128" s="2" t="inlineStr">
        <is>
          <t>Lead routing</t>
        </is>
      </c>
      <c r="AB128" s="2" t="inlineStr">
        <is>
          <t>High</t>
        </is>
      </c>
      <c r="AC128" s="2" t="inlineStr">
        <is>
          <t>Your contact page lists offices in both Manly NSW and Brisbane QLD.</t>
        </is>
      </c>
      <c r="AD128" s="2" t="inlineStr">
        <is>
          <t>Supports the lead routing idea: Website contact/quote enquiry followed by phone/email follow-up</t>
        </is>
      </c>
      <c r="AE128" s="2" t="inlineStr">
        <is>
          <t>I noticed your contact page lists offices in both Manly NSW and Brisbane QLD.</t>
        </is>
      </c>
      <c r="AF128" s="2" t="inlineStr">
        <is>
          <t>A lead routing idea for EPC Renewables (formerly EPC Solar)</t>
        </is>
      </c>
      <c r="AG128" s="2" t="inlineStr">
        <is>
          <t>Hi EPC Renewables (formerly EPC Solar) team,
I noticed your contact page lists offices in both Manly NSW and Brisbane QLD.
I work with businesses on AI and workflow automation. For a solar company like EPC Renewables (formerly EPC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28" s="2" t="inlineStr">
        <is>
          <t>https://www.epcsolar.com.au/contact/</t>
        </is>
      </c>
      <c r="AI128" s="2" t="inlineStr">
        <is>
          <t>Site title 'Commercial and Utility Scale Solar PV and BESS | EPC Renewables'; contact page lists Manly NSW and Brisbane QLD offices; phone 1300 372 765; admin@epcsolar.com.au also listed.</t>
        </is>
      </c>
      <c r="AJ128" s="2" t="inlineStr">
        <is>
          <t>Company website (contact page)</t>
        </is>
      </c>
      <c r="AK128" s="2" t="inlineStr">
        <is>
          <t>Medium</t>
        </is>
      </c>
      <c r="AL128" s="2" t="inlineStr">
        <is>
          <t>Review</t>
        </is>
      </c>
      <c r="AM128" s="2" t="inlineStr">
        <is>
          <t>Not Sent</t>
        </is>
      </c>
      <c r="AN128" s="2" t="n"/>
      <c r="AO128" s="2" t="inlineStr">
        <is>
          <t>Batch 2 | Email seen in search-result summary only; exact-match verification search could not be run (session web search budget exhausted). | Email seen in search results but not independently corroborated; verify on website before sending.</t>
        </is>
      </c>
    </row>
    <row r="129">
      <c r="A129" s="2" t="inlineStr"/>
      <c r="B129" s="2" t="inlineStr">
        <is>
          <t>Solar Water Wind</t>
        </is>
      </c>
      <c r="C129" s="2" t="inlineStr"/>
      <c r="D129" s="2" t="inlineStr"/>
      <c r="E129" s="2" t="inlineStr">
        <is>
          <t>info@solarwaterwind.com.au</t>
        </is>
      </c>
      <c r="F129" s="2" t="inlineStr">
        <is>
          <t>Australia</t>
        </is>
      </c>
      <c r="G129" s="2" t="inlineStr">
        <is>
          <t>NSW</t>
        </is>
      </c>
      <c r="H129" s="2" t="inlineStr">
        <is>
          <t>Newcastle</t>
        </is>
      </c>
      <c r="I129" s="2" t="inlineStr">
        <is>
          <t>https://www.solarwaterwind.com.au/</t>
        </is>
      </c>
      <c r="J129" s="2" t="inlineStr">
        <is>
          <t>Residential &amp; commercial solar installer</t>
        </is>
      </c>
      <c r="K129" s="2" t="inlineStr">
        <is>
          <t>Solar panel installation, solar repairs</t>
        </is>
      </c>
      <c r="L129" s="2" t="inlineStr">
        <is>
          <t>Residential &amp; Commercial</t>
        </is>
      </c>
      <c r="M129" s="2" t="inlineStr">
        <is>
          <t>Unknown</t>
        </is>
      </c>
      <c r="N129" s="2" t="inlineStr">
        <is>
          <t>Newcastle &amp; Central Coast NSW</t>
        </is>
      </c>
      <c r="O129" s="2" t="inlineStr">
        <is>
          <t>2 phone lines (Newcastle; Central Coast)</t>
        </is>
      </c>
      <c r="P129" s="2" t="inlineStr">
        <is>
          <t>Unknown</t>
        </is>
      </c>
      <c r="Q129" s="2" t="inlineStr">
        <is>
          <t>Unknown</t>
        </is>
      </c>
      <c r="R129" s="2" t="inlineStr">
        <is>
          <t>Unknown</t>
        </is>
      </c>
      <c r="S129" s="2" t="inlineStr">
        <is>
          <t>Unknown</t>
        </is>
      </c>
      <c r="T129" s="2" t="inlineStr">
        <is>
          <t>Unknown</t>
        </is>
      </c>
      <c r="U129" s="2" t="inlineStr">
        <is>
          <t>Phone + email</t>
        </is>
      </c>
      <c r="V129" s="2" t="inlineStr">
        <is>
          <t>Website; phone; email</t>
        </is>
      </c>
      <c r="W129" s="2" t="inlineStr">
        <is>
          <t>None found</t>
        </is>
      </c>
      <c r="X129" s="2" t="inlineStr">
        <is>
          <t>Serves two regions with separate numbers</t>
        </is>
      </c>
      <c r="Y129" s="2" t="inlineStr">
        <is>
          <t>None found</t>
        </is>
      </c>
      <c r="Z129" s="2" t="inlineStr">
        <is>
          <t>Website contact/quote enquiry followed by phone/email follow-up</t>
        </is>
      </c>
      <c r="AA129" s="2" t="inlineStr">
        <is>
          <t>Lead routing</t>
        </is>
      </c>
      <c r="AB129" s="2" t="inlineStr">
        <is>
          <t>Medium</t>
        </is>
      </c>
      <c r="AC129" s="2" t="inlineStr">
        <is>
          <t>Your site lists separate phone lines for Newcastle and the Central Coast.</t>
        </is>
      </c>
      <c r="AD129" s="2" t="inlineStr">
        <is>
          <t>Supports the lead routing idea: Website contact/quote enquiry followed by phone/email follow-up</t>
        </is>
      </c>
      <c r="AE129" s="2" t="inlineStr">
        <is>
          <t>I noticed your site lists separate phone lines for Newcastle and the Central Coast.</t>
        </is>
      </c>
      <c r="AF129" s="2" t="inlineStr">
        <is>
          <t>A lead routing idea for Solar Water Wind</t>
        </is>
      </c>
      <c r="AG129" s="2" t="inlineStr">
        <is>
          <t>Hi Solar Water Wind team,
I noticed your site lists separate phone lines for Newcastle and the Central Coast.
I work with businesses on AI and workflow automation. For a solar company like Solar Water Wind,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29" s="2" t="inlineStr">
        <is>
          <t>https://www.solarwaterwind.com.au/</t>
        </is>
      </c>
      <c r="AI129" s="2" t="inlineStr">
        <is>
          <t>Site title 'Solar Panel Installations &amp; Repairs | NSW'; separate Newcastle (02 4089 4664) and Central Coast (02 4315 2391) numbers.</t>
        </is>
      </c>
      <c r="AJ129" s="2" t="inlineStr">
        <is>
          <t>Company website (homepage)</t>
        </is>
      </c>
      <c r="AK129" s="2" t="inlineStr">
        <is>
          <t>Medium</t>
        </is>
      </c>
      <c r="AL129" s="2" t="inlineStr">
        <is>
          <t>Review</t>
        </is>
      </c>
      <c r="AM129" s="2" t="inlineStr">
        <is>
          <t>Not Sent</t>
        </is>
      </c>
      <c r="AN129" s="2" t="n"/>
      <c r="AO129" s="2" t="inlineStr">
        <is>
          <t>Batch 2 | Email seen in search-result summary only; exact-match verification search could not be run (session web search budget exhausted). | Email seen in search results but not independently corroborated; verify on website before sending.</t>
        </is>
      </c>
    </row>
    <row r="130">
      <c r="A130" s="2" t="inlineStr"/>
      <c r="B130" s="2" t="inlineStr">
        <is>
          <t>Green Star Solar NSW</t>
        </is>
      </c>
      <c r="C130" s="2" t="inlineStr"/>
      <c r="D130" s="2" t="inlineStr"/>
      <c r="E130" s="2" t="inlineStr">
        <is>
          <t>info@greenstarsolar.com.au</t>
        </is>
      </c>
      <c r="F130" s="2" t="inlineStr">
        <is>
          <t>Australia</t>
        </is>
      </c>
      <c r="G130" s="2" t="inlineStr">
        <is>
          <t>NSW</t>
        </is>
      </c>
      <c r="H130" s="2" t="inlineStr">
        <is>
          <t>Newcastle</t>
        </is>
      </c>
      <c r="I130" s="2" t="inlineStr">
        <is>
          <t>https://greenstarsolar.com.au/</t>
        </is>
      </c>
      <c r="J130" s="2" t="inlineStr">
        <is>
          <t>Residential &amp; commercial solar installer</t>
        </is>
      </c>
      <c r="K130" s="2" t="inlineStr">
        <is>
          <t>Solar PV sales &amp; installation</t>
        </is>
      </c>
      <c r="L130" s="2" t="inlineStr">
        <is>
          <t>Residential &amp; Commercial</t>
        </is>
      </c>
      <c r="M130" s="2" t="inlineStr">
        <is>
          <t>Unknown</t>
        </is>
      </c>
      <c r="N130" s="2" t="inlineStr">
        <is>
          <t>Newcastle / Hunter</t>
        </is>
      </c>
      <c r="O130" s="2" t="inlineStr">
        <is>
          <t>Unknown</t>
        </is>
      </c>
      <c r="P130" s="2" t="inlineStr">
        <is>
          <t>Unknown</t>
        </is>
      </c>
      <c r="Q130" s="2" t="inlineStr">
        <is>
          <t>Unknown</t>
        </is>
      </c>
      <c r="R130" s="2" t="inlineStr">
        <is>
          <t>Unknown</t>
        </is>
      </c>
      <c r="S130" s="2" t="inlineStr">
        <is>
          <t>Unknown</t>
        </is>
      </c>
      <c r="T130" s="2" t="inlineStr">
        <is>
          <t>Unknown</t>
        </is>
      </c>
      <c r="U130" s="2" t="inlineStr">
        <is>
          <t>Phone + email</t>
        </is>
      </c>
      <c r="V130" s="2" t="inlineStr">
        <is>
          <t>Website; phone; email</t>
        </is>
      </c>
      <c r="W130" s="2" t="inlineStr">
        <is>
          <t>None found</t>
        </is>
      </c>
      <c r="X130" s="2" t="inlineStr">
        <is>
          <t>None found</t>
        </is>
      </c>
      <c r="Y130" s="2" t="inlineStr">
        <is>
          <t>None found</t>
        </is>
      </c>
      <c r="Z130" s="2" t="inlineStr">
        <is>
          <t>Website contact/quote enquiry followed by phone/email follow-up</t>
        </is>
      </c>
      <c r="AA130" s="2" t="inlineStr">
        <is>
          <t>Quote request automation</t>
        </is>
      </c>
      <c r="AB130" s="2" t="inlineStr">
        <is>
          <t>Medium</t>
        </is>
      </c>
      <c r="AC130" s="2" t="inlineStr">
        <is>
          <t>Your site describes you as a Newcastle solar sales and installation business.</t>
        </is>
      </c>
      <c r="AD130" s="2" t="inlineStr">
        <is>
          <t>Supports the quote request automation idea: Website contact/quote enquiry followed by phone/email follow-up</t>
        </is>
      </c>
      <c r="AE130" s="2" t="inlineStr">
        <is>
          <t>I came across Green Star Solar NSW and noticed your site describes you as a Newcastle solar sales and installation business.</t>
        </is>
      </c>
      <c r="AF130" s="2" t="inlineStr">
        <is>
          <t>A solar quote workflow idea</t>
        </is>
      </c>
      <c r="AG130" s="2" t="inlineStr">
        <is>
          <t>Hi Green Star Solar NSW team,
I came across Green Star Solar NSW and noticed your site describes you as a Newcastle solar sales and installation business.
I work with businesses on AI and workflow automation. For a solar company like Green Star Solar NSW,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30" s="2" t="inlineStr">
        <is>
          <t>https://greenstarsolar.com.au/</t>
        </is>
      </c>
      <c r="AI130" s="2" t="inlineStr">
        <is>
          <t>Title 'Newcastle Solar Installer » Green Star Solar NSW | Newcastle solar sales &amp; installation'; phone 1300 399 181.</t>
        </is>
      </c>
      <c r="AJ130" s="2" t="inlineStr">
        <is>
          <t>Company website (homepage)</t>
        </is>
      </c>
      <c r="AK130" s="2" t="inlineStr">
        <is>
          <t>Medium</t>
        </is>
      </c>
      <c r="AL130" s="2" t="inlineStr">
        <is>
          <t>Review</t>
        </is>
      </c>
      <c r="AM130" s="2" t="inlineStr">
        <is>
          <t>Not Sent</t>
        </is>
      </c>
      <c r="AN130" s="2" t="n"/>
      <c r="AO130" s="2" t="inlineStr">
        <is>
          <t>Batch 2 | Email seen in search-result summary only; exact-match verification search could not be run (session web search budget exhausted). | Email seen in search results but not independently corroborated; verify on website before sending.</t>
        </is>
      </c>
    </row>
    <row r="131">
      <c r="A131" s="2" t="inlineStr"/>
      <c r="B131" s="2" t="inlineStr">
        <is>
          <t>Newcastle Solar Centre</t>
        </is>
      </c>
      <c r="C131" s="2" t="inlineStr"/>
      <c r="D131" s="2" t="inlineStr"/>
      <c r="E131" s="2" t="inlineStr">
        <is>
          <t>support@solarinstallationnewcastle.com.au</t>
        </is>
      </c>
      <c r="F131" s="2" t="inlineStr">
        <is>
          <t>Australia</t>
        </is>
      </c>
      <c r="G131" s="2" t="inlineStr">
        <is>
          <t>NSW</t>
        </is>
      </c>
      <c r="H131" s="2" t="inlineStr">
        <is>
          <t>Jamisontown</t>
        </is>
      </c>
      <c r="I131" s="2" t="inlineStr">
        <is>
          <t>https://solarinstallationnewcastle.com.au/</t>
        </is>
      </c>
      <c r="J131" s="2" t="inlineStr">
        <is>
          <t>Residential solar installer</t>
        </is>
      </c>
      <c r="K131" s="2" t="inlineStr">
        <is>
          <t>Solar PV installation</t>
        </is>
      </c>
      <c r="L131" s="2" t="inlineStr">
        <is>
          <t>Residential</t>
        </is>
      </c>
      <c r="M131" s="2" t="inlineStr">
        <is>
          <t>Unknown</t>
        </is>
      </c>
      <c r="N131" s="2" t="inlineStr">
        <is>
          <t>Newcastle NSW</t>
        </is>
      </c>
      <c r="O131" s="2" t="inlineStr">
        <is>
          <t>Unknown</t>
        </is>
      </c>
      <c r="P131" s="2" t="inlineStr">
        <is>
          <t>Unknown</t>
        </is>
      </c>
      <c r="Q131" s="2" t="inlineStr">
        <is>
          <t>Unknown</t>
        </is>
      </c>
      <c r="R131" s="2" t="inlineStr">
        <is>
          <t>Unknown</t>
        </is>
      </c>
      <c r="S131" s="2" t="inlineStr">
        <is>
          <t>Unknown</t>
        </is>
      </c>
      <c r="T131" s="2" t="inlineStr">
        <is>
          <t>Unknown</t>
        </is>
      </c>
      <c r="U131" s="2" t="inlineStr">
        <is>
          <t>Phone + email</t>
        </is>
      </c>
      <c r="V131" s="2" t="inlineStr">
        <is>
          <t>Website; phone; email</t>
        </is>
      </c>
      <c r="W131" s="2" t="inlineStr">
        <is>
          <t>None found</t>
        </is>
      </c>
      <c r="X131" s="2" t="inlineStr">
        <is>
          <t>None found</t>
        </is>
      </c>
      <c r="Y131" s="2" t="inlineStr">
        <is>
          <t>None found</t>
        </is>
      </c>
      <c r="Z131" s="2" t="inlineStr">
        <is>
          <t>Website contact/quote enquiry followed by phone/email follow-up</t>
        </is>
      </c>
      <c r="AA131" s="2" t="inlineStr">
        <is>
          <t>Quote request automation</t>
        </is>
      </c>
      <c r="AB131" s="2" t="inlineStr">
        <is>
          <t>Low</t>
        </is>
      </c>
      <c r="AC131" s="2" t="inlineStr">
        <is>
          <t>Your website presents Newcastle Solar Centre as a residential solar installer serving Newcastle NSW.</t>
        </is>
      </c>
      <c r="AD131" s="2" t="inlineStr">
        <is>
          <t>Supports the quote request automation idea: Website contact/quote enquiry followed by phone/email follow-up</t>
        </is>
      </c>
      <c r="AE131" s="2" t="inlineStr">
        <is>
          <t>I noticed your website presents Newcastle Solar Centre as a residential solar installer serving Newcastle NSW.</t>
        </is>
      </c>
      <c r="AF131" s="2" t="inlineStr">
        <is>
          <t>Quote requests at Newcastle Solar Centre</t>
        </is>
      </c>
      <c r="AG131" s="2" t="inlineStr">
        <is>
          <t>Hi Newcastle Solar Centre team,
I noticed your website presents Newcastle Solar Centre as a residential solar installer serving Newcastle NSW.
I work with businesses on AI and workflow automation. For a solar company like Newcastle Solar Centre,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31" s="2" t="inlineStr">
        <is>
          <t>https://solarinstallationnewcastle.com.au/</t>
        </is>
      </c>
      <c r="AI131" s="2" t="inlineStr">
        <is>
          <t>Search summary lists address 130A Batt St, Jamisontown NSW; phone 1800 202 930.</t>
        </is>
      </c>
      <c r="AJ131" s="2" t="inlineStr">
        <is>
          <t>Company website (homepage)</t>
        </is>
      </c>
      <c r="AK131" s="2" t="inlineStr">
        <is>
          <t>Low</t>
        </is>
      </c>
      <c r="AL131" s="2" t="inlineStr">
        <is>
          <t>Review</t>
        </is>
      </c>
      <c r="AM131" s="2" t="inlineStr">
        <is>
          <t>Not Sent</t>
        </is>
      </c>
      <c r="AN131" s="2" t="n"/>
      <c r="AO131" s="2" t="inlineStr">
        <is>
          <t>Batch 2 | Email seen in search-result summary only; exact-match verification search could not be run (session web search budget exhausted). Address (Jamisontown, Penrith area) inconsistent with Newcastle branding; may be a lead-gen style site. | Email seen in search results but not independently corroborated; verify on website before sending.</t>
        </is>
      </c>
    </row>
    <row r="132">
      <c r="A132" s="2" t="inlineStr"/>
      <c r="B132" s="2" t="inlineStr">
        <is>
          <t>Spot On Solar International</t>
        </is>
      </c>
      <c r="C132" s="2" t="inlineStr"/>
      <c r="D132" s="2" t="inlineStr"/>
      <c r="E132" s="2" t="inlineStr">
        <is>
          <t>sales.spotonsolar@gmail.com</t>
        </is>
      </c>
      <c r="F132" s="2" t="inlineStr">
        <is>
          <t>Australia</t>
        </is>
      </c>
      <c r="G132" s="2" t="inlineStr">
        <is>
          <t>NSW</t>
        </is>
      </c>
      <c r="H132" s="2" t="inlineStr">
        <is>
          <t>Newcastle</t>
        </is>
      </c>
      <c r="I132" s="2" t="inlineStr">
        <is>
          <t>https://www.spotonsolar.com.au/</t>
        </is>
      </c>
      <c r="J132" s="2" t="inlineStr">
        <is>
          <t>Residential solar installer</t>
        </is>
      </c>
      <c r="K132" s="2" t="inlineStr">
        <is>
          <t>Solar panels</t>
        </is>
      </c>
      <c r="L132" s="2" t="inlineStr">
        <is>
          <t>Residential</t>
        </is>
      </c>
      <c r="M132" s="2" t="inlineStr">
        <is>
          <t>Unknown</t>
        </is>
      </c>
      <c r="N132" s="2" t="inlineStr">
        <is>
          <t>Newcastle NSW</t>
        </is>
      </c>
      <c r="O132" s="2" t="inlineStr">
        <is>
          <t>Unknown</t>
        </is>
      </c>
      <c r="P132" s="2" t="inlineStr">
        <is>
          <t>Unknown</t>
        </is>
      </c>
      <c r="Q132" s="2" t="inlineStr">
        <is>
          <t>Unknown</t>
        </is>
      </c>
      <c r="R132" s="2" t="inlineStr">
        <is>
          <t>Unknown</t>
        </is>
      </c>
      <c r="S132" s="2" t="inlineStr">
        <is>
          <t>Unknown</t>
        </is>
      </c>
      <c r="T132" s="2" t="inlineStr">
        <is>
          <t>Unknown</t>
        </is>
      </c>
      <c r="U132" s="2" t="inlineStr">
        <is>
          <t>Phone + email</t>
        </is>
      </c>
      <c r="V132" s="2" t="inlineStr">
        <is>
          <t>Website; phone; email</t>
        </is>
      </c>
      <c r="W132" s="2" t="inlineStr">
        <is>
          <t>None found</t>
        </is>
      </c>
      <c r="X132" s="2" t="inlineStr">
        <is>
          <t>None found</t>
        </is>
      </c>
      <c r="Y132" s="2" t="inlineStr">
        <is>
          <t>None found</t>
        </is>
      </c>
      <c r="Z132" s="2" t="inlineStr">
        <is>
          <t>Website contact/quote enquiry followed by phone/email follow-up</t>
        </is>
      </c>
      <c r="AA132" s="2" t="inlineStr">
        <is>
          <t>Quote request automation</t>
        </is>
      </c>
      <c r="AB132" s="2" t="inlineStr">
        <is>
          <t>Low</t>
        </is>
      </c>
      <c r="AC132" s="2" t="inlineStr">
        <is>
          <t>Your website presents Spot On Solar International as a residential solar installer serving Newcastle NSW.</t>
        </is>
      </c>
      <c r="AD132" s="2" t="inlineStr">
        <is>
          <t>Supports the quote request automation idea: Website contact/quote enquiry followed by phone/email follow-up</t>
        </is>
      </c>
      <c r="AE132" s="2" t="inlineStr">
        <is>
          <t>I noticed your website presents Spot On Solar International as a residential solar installer serving Newcastle NSW.</t>
        </is>
      </c>
      <c r="AF132" s="2" t="inlineStr">
        <is>
          <t>A solar quote workflow idea</t>
        </is>
      </c>
      <c r="AG132" s="2" t="inlineStr">
        <is>
          <t>Hi Spot On Solar International team,
I noticed your website presents Spot On Solar International as a residential solar installer serving Newcastle NSW.
I work with businesses on AI and workflow automation. For a solar company like Spot On Solar International,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32" s="2" t="inlineStr">
        <is>
          <t>https://www.spotonsolar.com.au/</t>
        </is>
      </c>
      <c r="AI132" s="2" t="inlineStr">
        <is>
          <t>Title 'Solar Panels In Newcastle | Spot On Solar International'; phone 02 4954 6768.</t>
        </is>
      </c>
      <c r="AJ132" s="2" t="inlineStr">
        <is>
          <t>Company website (homepage)</t>
        </is>
      </c>
      <c r="AK132" s="2" t="inlineStr">
        <is>
          <t>Low</t>
        </is>
      </c>
      <c r="AL132" s="2" t="inlineStr">
        <is>
          <t>Review</t>
        </is>
      </c>
      <c r="AM132" s="2" t="inlineStr">
        <is>
          <t>Not Sent</t>
        </is>
      </c>
      <c r="AN132" s="2" t="n"/>
      <c r="AO132" s="2" t="inlineStr">
        <is>
          <t>Batch 2 | Email seen in search-result summary only; exact-match verification search could not be run (session web search budget exhausted). Only a gmail address surfaced. | Email is on a free webmail domain; confirm it is the business's published address.</t>
        </is>
      </c>
    </row>
    <row r="133">
      <c r="A133" s="2" t="inlineStr"/>
      <c r="B133" s="2" t="inlineStr">
        <is>
          <t>Future NRG</t>
        </is>
      </c>
      <c r="C133" s="2" t="inlineStr"/>
      <c r="D133" s="2" t="inlineStr"/>
      <c r="E133" s="2" t="inlineStr">
        <is>
          <t>office@futurenrg.com.au</t>
        </is>
      </c>
      <c r="F133" s="2" t="inlineStr">
        <is>
          <t>Australia</t>
        </is>
      </c>
      <c r="G133" s="2" t="inlineStr">
        <is>
          <t>VIC</t>
        </is>
      </c>
      <c r="H133" s="2" t="inlineStr">
        <is>
          <t>Shepparton</t>
        </is>
      </c>
      <c r="I133" s="2" t="inlineStr">
        <is>
          <t>https://futurenrg.com.au/</t>
        </is>
      </c>
      <c r="J133" s="2" t="inlineStr">
        <is>
          <t>Residential &amp; commercial solar installer</t>
        </is>
      </c>
      <c r="K133" s="2" t="inlineStr">
        <is>
          <t>Solar PV, batteries</t>
        </is>
      </c>
      <c r="L133" s="2" t="inlineStr">
        <is>
          <t>Residential &amp; Commercial</t>
        </is>
      </c>
      <c r="M133" s="2" t="inlineStr">
        <is>
          <t>Unknown</t>
        </is>
      </c>
      <c r="N133" s="2" t="inlineStr">
        <is>
          <t>Shepparton, Echuca Moama, Ballarat, Greater Geelong</t>
        </is>
      </c>
      <c r="O133" s="2" t="inlineStr">
        <is>
          <t>2+ (Shepparton; Geelong)</t>
        </is>
      </c>
      <c r="P133" s="2" t="inlineStr">
        <is>
          <t>Unknown</t>
        </is>
      </c>
      <c r="Q133" s="2" t="inlineStr">
        <is>
          <t>Unknown</t>
        </is>
      </c>
      <c r="R133" s="2" t="inlineStr">
        <is>
          <t>Unknown</t>
        </is>
      </c>
      <c r="S133" s="2" t="inlineStr">
        <is>
          <t>Unknown</t>
        </is>
      </c>
      <c r="T133" s="2" t="inlineStr">
        <is>
          <t>Unknown</t>
        </is>
      </c>
      <c r="U133" s="2" t="inlineStr">
        <is>
          <t>Phone + email</t>
        </is>
      </c>
      <c r="V133" s="2" t="inlineStr">
        <is>
          <t>Website; phone; email</t>
        </is>
      </c>
      <c r="W133" s="2" t="inlineStr">
        <is>
          <t>None found</t>
        </is>
      </c>
      <c r="X133" s="2" t="inlineStr">
        <is>
          <t>Multiple regional Victorian service areas</t>
        </is>
      </c>
      <c r="Y133" s="2" t="inlineStr">
        <is>
          <t>None found</t>
        </is>
      </c>
      <c r="Z133" s="2" t="inlineStr">
        <is>
          <t>Website contact/quote enquiry followed by phone/email follow-up</t>
        </is>
      </c>
      <c r="AA133" s="2" t="inlineStr">
        <is>
          <t>Customer support automation</t>
        </is>
      </c>
      <c r="AB133" s="2" t="inlineStr">
        <is>
          <t>Medium</t>
        </is>
      </c>
      <c r="AC133" s="2" t="inlineStr">
        <is>
          <t>Your contact page covers both Shepparton and Geelong customers.</t>
        </is>
      </c>
      <c r="AD133" s="2" t="inlineStr">
        <is>
          <t>Supports the customer support automation idea: Website contact/quote enquiry followed by phone/email follow-up</t>
        </is>
      </c>
      <c r="AE133" s="2" t="inlineStr">
        <is>
          <t>I came across Future NRG and noticed your contact page covers both Shepparton and Geelong customers.</t>
        </is>
      </c>
      <c r="AF133" s="2" t="inlineStr">
        <is>
          <t>A support workflow idea for Future NRG</t>
        </is>
      </c>
      <c r="AG133" s="2" t="inlineStr">
        <is>
          <t>Hi Future NRG team,
I came across Future NRG and noticed your contact page covers both Shepparton and Geelong customers.
I work with businesses on AI and workflow automation. For a solar company like Future NRG,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133" s="2" t="inlineStr">
        <is>
          <t>https://futurenrg.com.au/contact/</t>
        </is>
      </c>
      <c r="AI133" s="2" t="inlineStr">
        <is>
          <t>Contact page 'Contact &amp; Support | Future NRG Shepparton &amp; Geelong'; phone 1300 359 894; serves Shepparton, Echuca Moama, Ballarat, Geelong.</t>
        </is>
      </c>
      <c r="AJ133" s="2" t="inlineStr">
        <is>
          <t>Company website (contact page)</t>
        </is>
      </c>
      <c r="AK133" s="2" t="inlineStr">
        <is>
          <t>Medium</t>
        </is>
      </c>
      <c r="AL133" s="2" t="inlineStr">
        <is>
          <t>Review</t>
        </is>
      </c>
      <c r="AM133" s="2" t="inlineStr">
        <is>
          <t>Not Sent</t>
        </is>
      </c>
      <c r="AN133" s="2" t="n"/>
      <c r="AO133" s="2" t="inlineStr">
        <is>
          <t>Batch 2 | Email seen in search-result summary only; exact-match verification search could not be run (session web search budget exhausted). | Email seen in search results but not independently corroborated; verify on website before sending.</t>
        </is>
      </c>
    </row>
    <row r="134">
      <c r="A134" s="2" t="inlineStr"/>
      <c r="B134" s="2" t="inlineStr">
        <is>
          <t>Auswell Energy</t>
        </is>
      </c>
      <c r="C134" s="2" t="inlineStr"/>
      <c r="D134" s="2" t="inlineStr"/>
      <c r="E134" s="2" t="inlineStr">
        <is>
          <t>info@auswellenergy.com</t>
        </is>
      </c>
      <c r="F134" s="2" t="inlineStr">
        <is>
          <t>Australia</t>
        </is>
      </c>
      <c r="G134" s="2" t="inlineStr">
        <is>
          <t>QLD</t>
        </is>
      </c>
      <c r="H134" s="2" t="inlineStr">
        <is>
          <t>Brisbane</t>
        </is>
      </c>
      <c r="I134" s="2" t="inlineStr">
        <is>
          <t>https://auswellenergy.com.au/</t>
        </is>
      </c>
      <c r="J134" s="2" t="inlineStr">
        <is>
          <t>Residential solar installer</t>
        </is>
      </c>
      <c r="K134" s="2" t="inlineStr">
        <is>
          <t>Solar PV installation</t>
        </is>
      </c>
      <c r="L134" s="2" t="inlineStr">
        <is>
          <t>Residential</t>
        </is>
      </c>
      <c r="M134" s="2" t="inlineStr">
        <is>
          <t>Unknown</t>
        </is>
      </c>
      <c r="N134" s="2" t="inlineStr">
        <is>
          <t>Brisbane, Gold Coast, Tweed Heads</t>
        </is>
      </c>
      <c r="O134" s="2" t="inlineStr">
        <is>
          <t>Unknown</t>
        </is>
      </c>
      <c r="P134" s="2" t="inlineStr">
        <is>
          <t>Unknown</t>
        </is>
      </c>
      <c r="Q134" s="2" t="inlineStr">
        <is>
          <t>Unknown</t>
        </is>
      </c>
      <c r="R134" s="2" t="inlineStr">
        <is>
          <t>Unknown</t>
        </is>
      </c>
      <c r="S134" s="2" t="inlineStr">
        <is>
          <t>Unknown</t>
        </is>
      </c>
      <c r="T134" s="2" t="inlineStr">
        <is>
          <t>Unknown</t>
        </is>
      </c>
      <c r="U134" s="2" t="inlineStr">
        <is>
          <t>Phone + email</t>
        </is>
      </c>
      <c r="V134" s="2" t="inlineStr">
        <is>
          <t>Website; phone; email</t>
        </is>
      </c>
      <c r="W134" s="2" t="inlineStr">
        <is>
          <t>None found</t>
        </is>
      </c>
      <c r="X134" s="2" t="inlineStr">
        <is>
          <t>None found</t>
        </is>
      </c>
      <c r="Y134" s="2" t="inlineStr">
        <is>
          <t>None found</t>
        </is>
      </c>
      <c r="Z134" s="2" t="inlineStr">
        <is>
          <t>Website contact/quote enquiry followed by phone/email follow-up</t>
        </is>
      </c>
      <c r="AA134" s="2" t="inlineStr">
        <is>
          <t>Quote request automation</t>
        </is>
      </c>
      <c r="AB134" s="2" t="inlineStr">
        <is>
          <t>Medium</t>
        </is>
      </c>
      <c r="AC134" s="2" t="inlineStr">
        <is>
          <t>Your site notes that your founder and installers are all CEC-accredited.</t>
        </is>
      </c>
      <c r="AD134" s="2" t="inlineStr">
        <is>
          <t>Supports the quote request automation idea: Website contact/quote enquiry followed by phone/email follow-up</t>
        </is>
      </c>
      <c r="AE134" s="2" t="inlineStr">
        <is>
          <t>I noticed your site notes that your founder and installers are all CEC-accredited.</t>
        </is>
      </c>
      <c r="AF134" s="2" t="inlineStr">
        <is>
          <t>A solar quote workflow idea</t>
        </is>
      </c>
      <c r="AG134" s="2" t="inlineStr">
        <is>
          <t>Hi Auswell Energy team,
I noticed your site notes that your founder and installers are all CEC-accredited.
I work with businesses on AI and workflow automation. For a solar company like Auswell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34" s="2" t="inlineStr">
        <is>
          <t>https://auswellenergy.com.au/what-is-a-cec-accredited-installer/</t>
        </is>
      </c>
      <c r="AI134" s="2" t="inlineStr">
        <is>
          <t>Blog page on CEC accreditation states founder/MD and installers are CEC-accredited; serves Brisbane, Gold Coast, Tweed Heads.</t>
        </is>
      </c>
      <c r="AJ134" s="2" t="inlineStr">
        <is>
          <t>Company website (blog)</t>
        </is>
      </c>
      <c r="AK134" s="2" t="inlineStr">
        <is>
          <t>Medium</t>
        </is>
      </c>
      <c r="AL134" s="2" t="inlineStr">
        <is>
          <t>Review</t>
        </is>
      </c>
      <c r="AM134" s="2" t="inlineStr">
        <is>
          <t>Not Sent</t>
        </is>
      </c>
      <c r="AN134" s="2" t="n"/>
      <c r="AO134" s="2" t="inlineStr">
        <is>
          <t>Batch 2 | Email seen in search-result summary only; exact-match verification search could not be run (session web search budget exhausted). Email domain (.com) differs from website domain (.com.au) as reported in summary. | Email seen in search results but not independently corroborated; verify on website before sending.</t>
        </is>
      </c>
    </row>
    <row r="135">
      <c r="A135" s="2" t="inlineStr"/>
      <c r="B135" s="2" t="inlineStr">
        <is>
          <t>Wholesale Solar and Batteries</t>
        </is>
      </c>
      <c r="C135" s="2" t="inlineStr"/>
      <c r="D135" s="2" t="inlineStr"/>
      <c r="E135" s="2" t="inlineStr">
        <is>
          <t>info@wholesale-solar.com.au</t>
        </is>
      </c>
      <c r="F135" s="2" t="inlineStr">
        <is>
          <t>Australia</t>
        </is>
      </c>
      <c r="G135" s="2" t="inlineStr">
        <is>
          <t>QLD</t>
        </is>
      </c>
      <c r="H135" s="2" t="inlineStr">
        <is>
          <t>Sunshine Coast</t>
        </is>
      </c>
      <c r="I135" s="2" t="inlineStr">
        <is>
          <t>https://wholesale-solar.com.au/</t>
        </is>
      </c>
      <c r="J135" s="2" t="inlineStr">
        <is>
          <t>Residential &amp; commercial solar installer</t>
        </is>
      </c>
      <c r="K135" s="2" t="inlineStr">
        <is>
          <t>Solar PV, batteries</t>
        </is>
      </c>
      <c r="L135" s="2" t="inlineStr">
        <is>
          <t>Residential &amp; Commercial</t>
        </is>
      </c>
      <c r="M135" s="2" t="inlineStr">
        <is>
          <t>Unknown</t>
        </is>
      </c>
      <c r="N135" s="2" t="inlineStr">
        <is>
          <t>Brisbane, Sunshine Coast, Gold Coast</t>
        </is>
      </c>
      <c r="O135" s="2" t="inlineStr">
        <is>
          <t>Unknown</t>
        </is>
      </c>
      <c r="P135" s="2" t="inlineStr">
        <is>
          <t>Unknown</t>
        </is>
      </c>
      <c r="Q135" s="2" t="inlineStr">
        <is>
          <t>Unknown</t>
        </is>
      </c>
      <c r="R135" s="2" t="inlineStr">
        <is>
          <t>Unknown</t>
        </is>
      </c>
      <c r="S135" s="2" t="inlineStr">
        <is>
          <t>Unknown</t>
        </is>
      </c>
      <c r="T135" s="2" t="inlineStr">
        <is>
          <t>Unknown</t>
        </is>
      </c>
      <c r="U135" s="2" t="inlineStr">
        <is>
          <t>Phone + email</t>
        </is>
      </c>
      <c r="V135" s="2" t="inlineStr">
        <is>
          <t>Website; phone; email</t>
        </is>
      </c>
      <c r="W135" s="2" t="inlineStr">
        <is>
          <t>None found</t>
        </is>
      </c>
      <c r="X135" s="2" t="inlineStr">
        <is>
          <t>None found</t>
        </is>
      </c>
      <c r="Y135" s="2" t="inlineStr">
        <is>
          <t>None found</t>
        </is>
      </c>
      <c r="Z135" s="2" t="inlineStr">
        <is>
          <t>Website contact/quote enquiry followed by phone/email follow-up</t>
        </is>
      </c>
      <c r="AA135" s="2" t="inlineStr">
        <is>
          <t>Quote request automation</t>
        </is>
      </c>
      <c r="AB135" s="2" t="inlineStr">
        <is>
          <t>Medium</t>
        </is>
      </c>
      <c r="AC135" s="2" t="inlineStr">
        <is>
          <t>Your website presents Wholesale Solar and Batteries as a residential &amp; commercial solar installer serving Brisbane, Sunshine Coast, Gold Coast.</t>
        </is>
      </c>
      <c r="AD135" s="2" t="inlineStr">
        <is>
          <t>Supports the quote request automation idea: Website contact/quote enquiry followed by phone/email follow-up</t>
        </is>
      </c>
      <c r="AE135" s="2" t="inlineStr">
        <is>
          <t>I noticed your website presents Wholesale Solar and Batteries as a residential &amp; commercial solar installer serving Brisbane, Sunshine Coast, Gold Coast.</t>
        </is>
      </c>
      <c r="AF135" s="2" t="inlineStr">
        <is>
          <t>Quote requests at Wholesale Solar and Batteries</t>
        </is>
      </c>
      <c r="AG135" s="2" t="inlineStr">
        <is>
          <t>Hi Wholesale Solar and Batteries team,
I noticed your website presents Wholesale Solar and Batteries as a residential &amp; commercial solar installer serving Brisbane, Sunshine Coast, Gold Coast.
I work with businesses on AI and workflow automation. For a solar company like Wholesale Solar and Batteries,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35" s="2" t="inlineStr">
        <is>
          <t>https://wholesale-solar.com.au/</t>
        </is>
      </c>
      <c r="AI135" s="2" t="inlineStr">
        <is>
          <t>Title 'Affordable Solar Panel Installation Sunshine Coast'; serves Brisbane, Sunshine Coast, Gold Coast.</t>
        </is>
      </c>
      <c r="AJ135" s="2" t="inlineStr">
        <is>
          <t>Company website (homepage)</t>
        </is>
      </c>
      <c r="AK135" s="2" t="inlineStr">
        <is>
          <t>Medium</t>
        </is>
      </c>
      <c r="AL135" s="2" t="inlineStr">
        <is>
          <t>Review</t>
        </is>
      </c>
      <c r="AM135" s="2" t="inlineStr">
        <is>
          <t>Not Sent</t>
        </is>
      </c>
      <c r="AN135" s="2" t="n"/>
      <c r="AO135" s="2" t="inlineStr">
        <is>
          <t>Batch 2 | Email seen in search-result summary only; exact-match verification search could not be run (session web search budget exhausted). | Email seen in search results but not independently corroborated; verify on website before sending.</t>
        </is>
      </c>
    </row>
    <row r="136">
      <c r="A136" s="2" t="inlineStr"/>
      <c r="B136" s="2" t="inlineStr">
        <is>
          <t>AHLEC Solar &amp; Electrical</t>
        </is>
      </c>
      <c r="C136" s="2" t="inlineStr"/>
      <c r="D136" s="2" t="inlineStr"/>
      <c r="E136" s="2" t="inlineStr">
        <is>
          <t>sales@ahlec.com.au</t>
        </is>
      </c>
      <c r="F136" s="2" t="inlineStr">
        <is>
          <t>Australia</t>
        </is>
      </c>
      <c r="G136" s="2" t="inlineStr">
        <is>
          <t>QLD</t>
        </is>
      </c>
      <c r="H136" s="2" t="inlineStr">
        <is>
          <t>Townsville</t>
        </is>
      </c>
      <c r="I136" s="2" t="inlineStr">
        <is>
          <t>https://ahlecsolar.com.au/</t>
        </is>
      </c>
      <c r="J136" s="2" t="inlineStr">
        <is>
          <t>Residential &amp; commercial solar installer</t>
        </is>
      </c>
      <c r="K136" s="2" t="inlineStr">
        <is>
          <t>Solar PV, electrical</t>
        </is>
      </c>
      <c r="L136" s="2" t="inlineStr">
        <is>
          <t>Residential &amp; Commercial</t>
        </is>
      </c>
      <c r="M136" s="2" t="inlineStr">
        <is>
          <t>Unknown</t>
        </is>
      </c>
      <c r="N136" s="2" t="inlineStr">
        <is>
          <t>Townsville / North QLD</t>
        </is>
      </c>
      <c r="O136" s="2" t="inlineStr">
        <is>
          <t>Unknown</t>
        </is>
      </c>
      <c r="P136" s="2" t="inlineStr">
        <is>
          <t>Unknown</t>
        </is>
      </c>
      <c r="Q136" s="2" t="inlineStr">
        <is>
          <t>Unknown</t>
        </is>
      </c>
      <c r="R136" s="2" t="inlineStr">
        <is>
          <t>Unknown</t>
        </is>
      </c>
      <c r="S136" s="2" t="inlineStr">
        <is>
          <t>Unknown</t>
        </is>
      </c>
      <c r="T136" s="2" t="inlineStr">
        <is>
          <t>Unknown</t>
        </is>
      </c>
      <c r="U136" s="2" t="inlineStr">
        <is>
          <t>Phone + email</t>
        </is>
      </c>
      <c r="V136" s="2" t="inlineStr">
        <is>
          <t>Website; phone; email</t>
        </is>
      </c>
      <c r="W136" s="2" t="inlineStr">
        <is>
          <t>sales@ mailbox listed</t>
        </is>
      </c>
      <c r="X136" s="2" t="inlineStr">
        <is>
          <t>None found</t>
        </is>
      </c>
      <c r="Y136" s="2" t="inlineStr">
        <is>
          <t>None found</t>
        </is>
      </c>
      <c r="Z136" s="2" t="inlineStr">
        <is>
          <t>Website contact/quote enquiry followed by phone/email follow-up</t>
        </is>
      </c>
      <c r="AA136" s="2" t="inlineStr">
        <is>
          <t>Quote request automation</t>
        </is>
      </c>
      <c r="AB136" s="2" t="inlineStr">
        <is>
          <t>Medium</t>
        </is>
      </c>
      <c r="AC136" s="2" t="inlineStr">
        <is>
          <t>Your website presents AHLEC Solar &amp; Electrical as a residential &amp; commercial solar installer serving Townsville / North QLD.</t>
        </is>
      </c>
      <c r="AD136" s="2" t="inlineStr">
        <is>
          <t>Supports the quote request automation idea: Website contact/quote enquiry followed by phone/email follow-up</t>
        </is>
      </c>
      <c r="AE136" s="2" t="inlineStr">
        <is>
          <t>I came across AHLEC Solar &amp; Electrical and noticed your website presents AHLEC Solar &amp; Electrical as a residential &amp; commercial solar installer serving Townsville / North QLD.</t>
        </is>
      </c>
      <c r="AF136" s="2" t="inlineStr">
        <is>
          <t>A solar quote workflow idea</t>
        </is>
      </c>
      <c r="AG136" s="2" t="inlineStr">
        <is>
          <t>Hi AHLEC Solar &amp; Electrical team,
I came across AHLEC Solar &amp; Electrical and noticed your website presents AHLEC Solar &amp; Electrical as a residential &amp; commercial solar installer serving Townsville / North QLD.
I work with businesses on AI and workflow automation. For a solar company like AHLEC Solar &amp;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36" s="2" t="inlineStr">
        <is>
          <t>https://ahlecsolar.com.au/townsville-solar-installer/</t>
        </is>
      </c>
      <c r="AI136" s="2" t="inlineStr">
        <is>
          <t>Page 'Townsville Solar Installer | AHLEC Solar &amp; Electrical'; tel 1800 66 08 74.</t>
        </is>
      </c>
      <c r="AJ136" s="2" t="inlineStr">
        <is>
          <t>Company website (service page)</t>
        </is>
      </c>
      <c r="AK136" s="2" t="inlineStr">
        <is>
          <t>Medium</t>
        </is>
      </c>
      <c r="AL136" s="2" t="inlineStr">
        <is>
          <t>Review</t>
        </is>
      </c>
      <c r="AM136" s="2" t="inlineStr">
        <is>
          <t>Not Sent</t>
        </is>
      </c>
      <c r="AN136" s="2" t="n"/>
      <c r="AO136" s="2" t="inlineStr">
        <is>
          <t>Batch 2 | Email seen in search-result summary only; exact-match verification search could not be run (session web search budget exhausted). Email domain ahlec.com.au differs from website ahlecsolar.com.au. | Email seen in search results but not independently corroborated; verify on website before sending.</t>
        </is>
      </c>
    </row>
    <row r="137">
      <c r="A137" s="2" t="inlineStr"/>
      <c r="B137" s="2" t="inlineStr">
        <is>
          <t>Greencell Energy</t>
        </is>
      </c>
      <c r="C137" s="2" t="inlineStr"/>
      <c r="D137" s="2" t="inlineStr"/>
      <c r="E137" s="2" t="inlineStr">
        <is>
          <t>sales@greencellenergy.com.au</t>
        </is>
      </c>
      <c r="F137" s="2" t="inlineStr">
        <is>
          <t>Australia</t>
        </is>
      </c>
      <c r="G137" s="2" t="inlineStr">
        <is>
          <t>QLD</t>
        </is>
      </c>
      <c r="H137" s="2" t="inlineStr">
        <is>
          <t>Townsville</t>
        </is>
      </c>
      <c r="I137" s="2" t="inlineStr">
        <is>
          <t>https://www.greencellenergy.com.au/</t>
        </is>
      </c>
      <c r="J137" s="2" t="inlineStr">
        <is>
          <t>Solar &amp; battery installer</t>
        </is>
      </c>
      <c r="K137" s="2" t="inlineStr">
        <is>
          <t>Solar panels, batteries</t>
        </is>
      </c>
      <c r="L137" s="2" t="inlineStr">
        <is>
          <t>Residential &amp; Commercial</t>
        </is>
      </c>
      <c r="M137" s="2" t="inlineStr">
        <is>
          <t>Unknown</t>
        </is>
      </c>
      <c r="N137" s="2" t="inlineStr">
        <is>
          <t>North Queensland</t>
        </is>
      </c>
      <c r="O137" s="2" t="inlineStr">
        <is>
          <t>2 (Townsville; Cairns)</t>
        </is>
      </c>
      <c r="P137" s="2" t="inlineStr">
        <is>
          <t>Unknown</t>
        </is>
      </c>
      <c r="Q137" s="2" t="inlineStr">
        <is>
          <t>Unknown</t>
        </is>
      </c>
      <c r="R137" s="2" t="inlineStr">
        <is>
          <t>Unknown</t>
        </is>
      </c>
      <c r="S137" s="2" t="inlineStr">
        <is>
          <t>Unknown</t>
        </is>
      </c>
      <c r="T137" s="2" t="inlineStr">
        <is>
          <t>Unknown</t>
        </is>
      </c>
      <c r="U137" s="2" t="inlineStr">
        <is>
          <t>Phone + email</t>
        </is>
      </c>
      <c r="V137" s="2" t="inlineStr">
        <is>
          <t>Website; phone; email</t>
        </is>
      </c>
      <c r="W137" s="2" t="inlineStr">
        <is>
          <t>sales@ mailbox listed</t>
        </is>
      </c>
      <c r="X137" s="2" t="inlineStr">
        <is>
          <t>Two city locations</t>
        </is>
      </c>
      <c r="Y137" s="2" t="inlineStr">
        <is>
          <t>None found</t>
        </is>
      </c>
      <c r="Z137" s="2" t="inlineStr">
        <is>
          <t>Website contact/quote enquiry followed by phone/email follow-up</t>
        </is>
      </c>
      <c r="AA137" s="2" t="inlineStr">
        <is>
          <t>Lead routing</t>
        </is>
      </c>
      <c r="AB137" s="2" t="inlineStr">
        <is>
          <t>High</t>
        </is>
      </c>
      <c r="AC137" s="2" t="inlineStr">
        <is>
          <t>Your site lists offices in both Townsville and Cairns.</t>
        </is>
      </c>
      <c r="AD137" s="2" t="inlineStr">
        <is>
          <t>Supports the lead routing idea: Website contact/quote enquiry followed by phone/email follow-up</t>
        </is>
      </c>
      <c r="AE137" s="2" t="inlineStr">
        <is>
          <t>I noticed your site lists offices in both Townsville and Cairns.</t>
        </is>
      </c>
      <c r="AF137" s="2" t="inlineStr">
        <is>
          <t>A lead routing idea for Greencell Energy</t>
        </is>
      </c>
      <c r="AG137" s="2" t="inlineStr">
        <is>
          <t>Hi Greencell Energy team,
I noticed your site lists offices in both Townsville and Cairns.
I work with businesses on AI and workflow automation. For a solar company like Greencell Energy,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37" s="2" t="inlineStr">
        <is>
          <t>https://www.greencellenergy.com.au/townsville/</t>
        </is>
      </c>
      <c r="AI137" s="2" t="inlineStr">
        <is>
          <t>Page 'Townsville Solar Panel and Batteries Installers'; locations Townsville (280 Flinders St) and Cairns (129A Lake St); phone 1300 920 854.</t>
        </is>
      </c>
      <c r="AJ137" s="2" t="inlineStr">
        <is>
          <t>Company website (location page)</t>
        </is>
      </c>
      <c r="AK137" s="2" t="inlineStr">
        <is>
          <t>Medium</t>
        </is>
      </c>
      <c r="AL137" s="2" t="inlineStr">
        <is>
          <t>Review</t>
        </is>
      </c>
      <c r="AM137" s="2" t="inlineStr">
        <is>
          <t>Not Sent</t>
        </is>
      </c>
      <c r="AN137" s="2" t="n"/>
      <c r="AO137" s="2" t="inlineStr">
        <is>
          <t>Batch 2 | Email seen in search-result summary only; exact-match verification search could not be run (session web search budget exhausted). | Email seen in search results but not independently corroborated; verify on website before sending.</t>
        </is>
      </c>
    </row>
    <row r="138">
      <c r="A138" s="2" t="inlineStr"/>
      <c r="B138" s="2" t="inlineStr">
        <is>
          <t>Solargain</t>
        </is>
      </c>
      <c r="C138" s="2" t="inlineStr"/>
      <c r="D138" s="2" t="inlineStr"/>
      <c r="E138" s="2" t="inlineStr">
        <is>
          <t>sg.info@solargain.com.au</t>
        </is>
      </c>
      <c r="F138" s="2" t="inlineStr">
        <is>
          <t>Australia</t>
        </is>
      </c>
      <c r="G138" s="2" t="inlineStr">
        <is>
          <t>WA</t>
        </is>
      </c>
      <c r="H138" s="2" t="inlineStr">
        <is>
          <t>Perth</t>
        </is>
      </c>
      <c r="I138" s="2" t="inlineStr">
        <is>
          <t>https://www.solargain.com.au/</t>
        </is>
      </c>
      <c r="J138" s="2" t="inlineStr">
        <is>
          <t>Residential &amp; commercial solar installer</t>
        </is>
      </c>
      <c r="K138" s="2" t="inlineStr">
        <is>
          <t>Solar PV, batteries, solar hot water, maintenance</t>
        </is>
      </c>
      <c r="L138" s="2" t="inlineStr">
        <is>
          <t>Residential &amp; Commercial</t>
        </is>
      </c>
      <c r="M138" s="2" t="inlineStr">
        <is>
          <t>Unknown</t>
        </is>
      </c>
      <c r="N138" s="2" t="inlineStr">
        <is>
          <t>Nationwide (WA, ACT, VIC, QLD and more)</t>
        </is>
      </c>
      <c r="O138" s="2" t="inlineStr">
        <is>
          <t>Multiple: Perth, Canberra (Fyshwick), Bendigo, Melbourne, Gold Coast</t>
        </is>
      </c>
      <c r="P138" s="2" t="inlineStr">
        <is>
          <t>Yes</t>
        </is>
      </c>
      <c r="Q138" s="2" t="inlineStr">
        <is>
          <t>Unknown</t>
        </is>
      </c>
      <c r="R138" s="2" t="inlineStr">
        <is>
          <t>Unknown</t>
        </is>
      </c>
      <c r="S138" s="2" t="inlineStr">
        <is>
          <t>Unknown</t>
        </is>
      </c>
      <c r="T138" s="2" t="inlineStr">
        <is>
          <t>Unknown</t>
        </is>
      </c>
      <c r="U138" s="2" t="inlineStr">
        <is>
          <t>Phone + email</t>
        </is>
      </c>
      <c r="V138" s="2" t="inlineStr">
        <is>
          <t>Website; phone; email</t>
        </is>
      </c>
      <c r="W138" s="2" t="inlineStr">
        <is>
          <t>Branch network with shared 1300 quote line</t>
        </is>
      </c>
      <c r="X138" s="2" t="inlineStr">
        <is>
          <t>Multi-state branch network</t>
        </is>
      </c>
      <c r="Y138" s="2" t="inlineStr">
        <is>
          <t>None found</t>
        </is>
      </c>
      <c r="Z138" s="2" t="inlineStr">
        <is>
          <t>Website contact/quote enquiry followed by phone/email follow-up</t>
        </is>
      </c>
      <c r="AA138" s="2" t="inlineStr">
        <is>
          <t>Site survey scheduling</t>
        </is>
      </c>
      <c r="AB138" s="2" t="inlineStr">
        <is>
          <t>High</t>
        </is>
      </c>
      <c r="AC138" s="2" t="inlineStr">
        <is>
          <t>Your branches in Perth, Canberra and Bendigo share one sg.info@ mailbox and 1300 quote line.</t>
        </is>
      </c>
      <c r="AD138" s="2" t="inlineStr">
        <is>
          <t>Supports the site survey scheduling idea: Website contact/quote enquiry followed by phone/email follow-up</t>
        </is>
      </c>
      <c r="AE138" s="2" t="inlineStr">
        <is>
          <t>I was looking at your website and saw that your branches in Perth, Canberra and Bendigo share one sg.info@ mailbox and 1300 quote line.</t>
        </is>
      </c>
      <c r="AF138" s="2" t="inlineStr">
        <is>
          <t>Site survey scheduling idea</t>
        </is>
      </c>
      <c r="AG138" s="2" t="inlineStr">
        <is>
          <t>Hi Solargain team,
I was looking at your website and saw that your branches in Perth, Canberra and Bendigo share one sg.info@ mailbox and 1300 quote line.
I work with businesses on AI and workflow automation. For a solar company like Solargain, once a lead is qualified, a workflow could offer survey slots, confirm the address and roof details, send reminders and notify the surveyor.
It keeps surveys moving without someone chasing each one by phone.
Would it be useful if I showed you how this could work with your current setup?
Best,
[Sender Name]
AI Automation Specialist</t>
        </is>
      </c>
      <c r="AH138" s="2" t="inlineStr">
        <is>
          <t>https://www.solargain.com.au/contact/solargain-perth</t>
        </is>
      </c>
      <c r="AI138" s="2" t="inlineStr">
        <is>
          <t>Separate contact pages for Perth, Canberra, Bendigo; location pages for Melbourne and Gold Coast; phone 1300 73 93 55 for quotes/free site assessment; CEC approved retailer page.</t>
        </is>
      </c>
      <c r="AJ138" s="2" t="inlineStr">
        <is>
          <t>Company website (contact pages)</t>
        </is>
      </c>
      <c r="AK138" s="2" t="inlineStr">
        <is>
          <t>Medium</t>
        </is>
      </c>
      <c r="AL138" s="2" t="inlineStr">
        <is>
          <t>Review</t>
        </is>
      </c>
      <c r="AM138" s="2" t="inlineStr">
        <is>
          <t>Not Sent</t>
        </is>
      </c>
      <c r="AN138" s="2" t="n"/>
      <c r="AO138" s="2" t="inlineStr">
        <is>
          <t>Batch 2 | Email seen in search-result summary only; exact-match verification search could not be run (session web search budget exhausted). Same email appeared in three separate search summaries (Perth, Canberra, Bendigo). | Email seen in search results but not independently corroborated; verify on website before sending.</t>
        </is>
      </c>
    </row>
    <row r="139">
      <c r="A139" s="2" t="inlineStr"/>
      <c r="B139" s="2" t="inlineStr">
        <is>
          <t>Solar Naturally</t>
        </is>
      </c>
      <c r="C139" s="2" t="inlineStr"/>
      <c r="D139" s="2" t="inlineStr"/>
      <c r="E139" s="2" t="inlineStr">
        <is>
          <t>sales@solarnaturally.com.au</t>
        </is>
      </c>
      <c r="F139" s="2" t="inlineStr">
        <is>
          <t>Australia</t>
        </is>
      </c>
      <c r="G139" s="2" t="inlineStr">
        <is>
          <t>WA</t>
        </is>
      </c>
      <c r="H139" s="2" t="inlineStr">
        <is>
          <t>Perth</t>
        </is>
      </c>
      <c r="I139" s="2" t="inlineStr">
        <is>
          <t>https://solarnaturally.com.au/</t>
        </is>
      </c>
      <c r="J139" s="2" t="inlineStr">
        <is>
          <t>Residential solar installer</t>
        </is>
      </c>
      <c r="K139" s="2" t="inlineStr">
        <is>
          <t>Solar PV</t>
        </is>
      </c>
      <c r="L139" s="2" t="inlineStr">
        <is>
          <t>Residential</t>
        </is>
      </c>
      <c r="M139" s="2" t="inlineStr">
        <is>
          <t>Unknown</t>
        </is>
      </c>
      <c r="N139" s="2" t="inlineStr">
        <is>
          <t>Perth</t>
        </is>
      </c>
      <c r="O139" s="2" t="inlineStr">
        <is>
          <t>Unknown</t>
        </is>
      </c>
      <c r="P139" s="2" t="inlineStr">
        <is>
          <t>Unknown</t>
        </is>
      </c>
      <c r="Q139" s="2" t="inlineStr">
        <is>
          <t>Unknown</t>
        </is>
      </c>
      <c r="R139" s="2" t="inlineStr">
        <is>
          <t>Unknown</t>
        </is>
      </c>
      <c r="S139" s="2" t="inlineStr">
        <is>
          <t>Unknown</t>
        </is>
      </c>
      <c r="T139" s="2" t="inlineStr">
        <is>
          <t>Unknown</t>
        </is>
      </c>
      <c r="U139" s="2" t="inlineStr">
        <is>
          <t>Phone + email</t>
        </is>
      </c>
      <c r="V139" s="2" t="inlineStr">
        <is>
          <t>Website; phone; email</t>
        </is>
      </c>
      <c r="W139" s="2" t="inlineStr">
        <is>
          <t>sales@ mailbox listed</t>
        </is>
      </c>
      <c r="X139" s="2" t="inlineStr">
        <is>
          <t>None found</t>
        </is>
      </c>
      <c r="Y139" s="2" t="inlineStr">
        <is>
          <t>None found</t>
        </is>
      </c>
      <c r="Z139" s="2" t="inlineStr">
        <is>
          <t>Website contact/quote enquiry followed by phone/email follow-up</t>
        </is>
      </c>
      <c r="AA139" s="2" t="inlineStr">
        <is>
          <t>Quote request automation</t>
        </is>
      </c>
      <c r="AB139" s="2" t="inlineStr">
        <is>
          <t>Medium</t>
        </is>
      </c>
      <c r="AC139" s="2" t="inlineStr">
        <is>
          <t>Your website presents Solar Naturally as a residential solar installer serving Perth.</t>
        </is>
      </c>
      <c r="AD139" s="2" t="inlineStr">
        <is>
          <t>Supports the quote request automation idea: Website contact/quote enquiry followed by phone/email follow-up</t>
        </is>
      </c>
      <c r="AE139" s="2" t="inlineStr">
        <is>
          <t>I came across Solar Naturally and noticed your website presents Solar Naturally as a residential solar installer serving Perth.</t>
        </is>
      </c>
      <c r="AF139" s="2" t="inlineStr">
        <is>
          <t>Quote requests at Solar Naturally</t>
        </is>
      </c>
      <c r="AG139" s="2" t="inlineStr">
        <is>
          <t>Hi Solar Naturally team,
I came across Solar Naturally and noticed your website presents Solar Naturally as a residential solar installer serving Perth.
I work with businesses on AI and workflow automation. For a solar company like Solar Naturally,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39" s="2" t="inlineStr">
        <is>
          <t>https://solarnaturally.com.au/solar-installer-perth/</t>
        </is>
      </c>
      <c r="AI139" s="2" t="inlineStr">
        <is>
          <t>Page 'Solar Installer Perth – Quality Equipment and Qualified Installations'.</t>
        </is>
      </c>
      <c r="AJ139" s="2" t="inlineStr">
        <is>
          <t>Company website (service page)</t>
        </is>
      </c>
      <c r="AK139" s="2" t="inlineStr">
        <is>
          <t>Medium</t>
        </is>
      </c>
      <c r="AL139" s="2" t="inlineStr">
        <is>
          <t>Review</t>
        </is>
      </c>
      <c r="AM139" s="2" t="inlineStr">
        <is>
          <t>Not Sent</t>
        </is>
      </c>
      <c r="AN139" s="2" t="n"/>
      <c r="AO139" s="2" t="inlineStr">
        <is>
          <t>Batch 2 | Email seen in search-result summary only; exact-match verification search could not be run (session web search budget exhausted). | Email seen in search results but not independently corroborated; verify on website before sending.</t>
        </is>
      </c>
    </row>
    <row r="140">
      <c r="A140" s="2" t="inlineStr"/>
      <c r="B140" s="2" t="inlineStr">
        <is>
          <t>Perth Solar &amp; Electrical</t>
        </is>
      </c>
      <c r="C140" s="2" t="inlineStr"/>
      <c r="D140" s="2" t="inlineStr"/>
      <c r="E140" s="2" t="inlineStr">
        <is>
          <t>sales@perthsolarandelectrical.com.au</t>
        </is>
      </c>
      <c r="F140" s="2" t="inlineStr">
        <is>
          <t>Australia</t>
        </is>
      </c>
      <c r="G140" s="2" t="inlineStr">
        <is>
          <t>WA</t>
        </is>
      </c>
      <c r="H140" s="2" t="inlineStr">
        <is>
          <t>Perth</t>
        </is>
      </c>
      <c r="I140" s="2" t="inlineStr">
        <is>
          <t>https://www.perthsolarandelectrical.com.au/</t>
        </is>
      </c>
      <c r="J140" s="2" t="inlineStr">
        <is>
          <t>Residential solar installer</t>
        </is>
      </c>
      <c r="K140" s="2" t="inlineStr">
        <is>
          <t>Solar, electrical</t>
        </is>
      </c>
      <c r="L140" s="2" t="inlineStr">
        <is>
          <t>Residential</t>
        </is>
      </c>
      <c r="M140" s="2" t="inlineStr">
        <is>
          <t>Unknown</t>
        </is>
      </c>
      <c r="N140" s="2" t="inlineStr">
        <is>
          <t>Perth</t>
        </is>
      </c>
      <c r="O140" s="2" t="inlineStr">
        <is>
          <t>Unknown</t>
        </is>
      </c>
      <c r="P140" s="2" t="inlineStr">
        <is>
          <t>Unknown</t>
        </is>
      </c>
      <c r="Q140" s="2" t="inlineStr">
        <is>
          <t>Unknown</t>
        </is>
      </c>
      <c r="R140" s="2" t="inlineStr">
        <is>
          <t>Unknown</t>
        </is>
      </c>
      <c r="S140" s="2" t="inlineStr">
        <is>
          <t>Unknown</t>
        </is>
      </c>
      <c r="T140" s="2" t="inlineStr">
        <is>
          <t>Unknown</t>
        </is>
      </c>
      <c r="U140" s="2" t="inlineStr">
        <is>
          <t>Phone + email</t>
        </is>
      </c>
      <c r="V140" s="2" t="inlineStr">
        <is>
          <t>Website; phone; email</t>
        </is>
      </c>
      <c r="W140" s="2" t="inlineStr">
        <is>
          <t>sales@ mailbox listed</t>
        </is>
      </c>
      <c r="X140" s="2" t="inlineStr">
        <is>
          <t>None found</t>
        </is>
      </c>
      <c r="Y140" s="2" t="inlineStr">
        <is>
          <t>None found</t>
        </is>
      </c>
      <c r="Z140" s="2" t="inlineStr">
        <is>
          <t>Website contact/quote enquiry followed by phone/email follow-up</t>
        </is>
      </c>
      <c r="AA140" s="2" t="inlineStr">
        <is>
          <t>Quote request automation</t>
        </is>
      </c>
      <c r="AB140" s="2" t="inlineStr">
        <is>
          <t>Medium</t>
        </is>
      </c>
      <c r="AC140" s="2" t="inlineStr">
        <is>
          <t>Your website presents Perth Solar &amp; Electrical as a residential solar installer serving Perth.</t>
        </is>
      </c>
      <c r="AD140" s="2" t="inlineStr">
        <is>
          <t>Supports the quote request automation idea: Website contact/quote enquiry followed by phone/email follow-up</t>
        </is>
      </c>
      <c r="AE140" s="2" t="inlineStr">
        <is>
          <t>I noticed your website presents Perth Solar &amp; Electrical as a residential solar installer serving Perth.</t>
        </is>
      </c>
      <c r="AF140" s="2" t="inlineStr">
        <is>
          <t>A solar quote workflow idea</t>
        </is>
      </c>
      <c r="AG140" s="2" t="inlineStr">
        <is>
          <t>Hi Perth Solar &amp; Electrical team,
I noticed your website presents Perth Solar &amp; Electrical as a residential solar installer serving Perth.
I work with businesses on AI and workflow automation. For a solar company like Perth Solar &amp;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40" s="2" t="inlineStr">
        <is>
          <t>https://www.perthsolarandelectrical.com.au/contact</t>
        </is>
      </c>
      <c r="AI140" s="2" t="inlineStr">
        <is>
          <t>Contact page 'Contact | Perth Solar &amp; Electrical'.</t>
        </is>
      </c>
      <c r="AJ140" s="2" t="inlineStr">
        <is>
          <t>Company website (contact page)</t>
        </is>
      </c>
      <c r="AK140" s="2" t="inlineStr">
        <is>
          <t>Medium</t>
        </is>
      </c>
      <c r="AL140" s="2" t="inlineStr">
        <is>
          <t>Review</t>
        </is>
      </c>
      <c r="AM140" s="2" t="inlineStr">
        <is>
          <t>Not Sent</t>
        </is>
      </c>
      <c r="AN140" s="2" t="n"/>
      <c r="AO140" s="2" t="inlineStr">
        <is>
          <t>Batch 2 | Email seen in search-result summary only; exact-match verification search could not be run (session web search budget exhausted). | Email seen in search results but not independently corroborated; verify on website before sending.</t>
        </is>
      </c>
    </row>
    <row r="141">
      <c r="A141" s="2" t="inlineStr"/>
      <c r="B141" s="2" t="inlineStr">
        <is>
          <t>Advanced Solar Technology</t>
        </is>
      </c>
      <c r="C141" s="2" t="inlineStr"/>
      <c r="D141" s="2" t="inlineStr"/>
      <c r="E141" s="2" t="inlineStr">
        <is>
          <t>sales@advancedsolartech.com.au</t>
        </is>
      </c>
      <c r="F141" s="2" t="inlineStr">
        <is>
          <t>Australia</t>
        </is>
      </c>
      <c r="G141" s="2" t="inlineStr">
        <is>
          <t>WA</t>
        </is>
      </c>
      <c r="H141" s="2" t="inlineStr">
        <is>
          <t>Perth</t>
        </is>
      </c>
      <c r="I141" s="2" t="inlineStr">
        <is>
          <t>https://advancedsolartechnology.com.au/</t>
        </is>
      </c>
      <c r="J141" s="2" t="inlineStr">
        <is>
          <t>Residential solar installer</t>
        </is>
      </c>
      <c r="K141" s="2" t="inlineStr">
        <is>
          <t>Solar PV</t>
        </is>
      </c>
      <c r="L141" s="2" t="inlineStr">
        <is>
          <t>Residential</t>
        </is>
      </c>
      <c r="M141" s="2" t="inlineStr">
        <is>
          <t>Unknown</t>
        </is>
      </c>
      <c r="N141" s="2" t="inlineStr">
        <is>
          <t>Perth</t>
        </is>
      </c>
      <c r="O141" s="2" t="inlineStr">
        <is>
          <t>Unknown</t>
        </is>
      </c>
      <c r="P141" s="2" t="inlineStr">
        <is>
          <t>Unknown</t>
        </is>
      </c>
      <c r="Q141" s="2" t="inlineStr">
        <is>
          <t>Unknown</t>
        </is>
      </c>
      <c r="R141" s="2" t="inlineStr">
        <is>
          <t>Unknown</t>
        </is>
      </c>
      <c r="S141" s="2" t="inlineStr">
        <is>
          <t>Unknown</t>
        </is>
      </c>
      <c r="T141" s="2" t="inlineStr">
        <is>
          <t>Unknown</t>
        </is>
      </c>
      <c r="U141" s="2" t="inlineStr">
        <is>
          <t>Phone + email</t>
        </is>
      </c>
      <c r="V141" s="2" t="inlineStr">
        <is>
          <t>Website; phone; email</t>
        </is>
      </c>
      <c r="W141" s="2" t="inlineStr">
        <is>
          <t>None found</t>
        </is>
      </c>
      <c r="X141" s="2" t="inlineStr">
        <is>
          <t>None found</t>
        </is>
      </c>
      <c r="Y141" s="2" t="inlineStr">
        <is>
          <t>None found</t>
        </is>
      </c>
      <c r="Z141" s="2" t="inlineStr">
        <is>
          <t>Website contact/quote enquiry followed by phone/email follow-up</t>
        </is>
      </c>
      <c r="AA141" s="2" t="inlineStr">
        <is>
          <t>Quote request automation</t>
        </is>
      </c>
      <c r="AB141" s="2" t="inlineStr">
        <is>
          <t>Medium</t>
        </is>
      </c>
      <c r="AC141" s="2" t="inlineStr">
        <is>
          <t>Your website presents Advanced Solar Technology as a residential solar installer serving Perth.</t>
        </is>
      </c>
      <c r="AD141" s="2" t="inlineStr">
        <is>
          <t>Supports the quote request automation idea: Website contact/quote enquiry followed by phone/email follow-up</t>
        </is>
      </c>
      <c r="AE141" s="2" t="inlineStr">
        <is>
          <t>I noticed your website presents Advanced Solar Technology as a residential solar installer serving Perth.</t>
        </is>
      </c>
      <c r="AF141" s="2" t="inlineStr">
        <is>
          <t>Quote requests at Advanced Solar Technology</t>
        </is>
      </c>
      <c r="AG141" s="2" t="inlineStr">
        <is>
          <t>Hi Advanced Solar Technology team,
I noticed your website presents Advanced Solar Technology as a residential solar installer serving Perth.
I work with businesses on AI and workflow automation. For a solar company like Advanced Solar Technology,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41" s="2" t="inlineStr">
        <is>
          <t>https://advancedsolartechnology.com.au/contact-us/</t>
        </is>
      </c>
      <c r="AI141" s="2" t="inlineStr">
        <is>
          <t>Contact page 'Contact Us | Cost of Solar Panels Perth | Advanced Solar Tech'.</t>
        </is>
      </c>
      <c r="AJ141" s="2" t="inlineStr">
        <is>
          <t>Company website (contact page)</t>
        </is>
      </c>
      <c r="AK141" s="2" t="inlineStr">
        <is>
          <t>Low</t>
        </is>
      </c>
      <c r="AL141" s="2" t="inlineStr">
        <is>
          <t>Review</t>
        </is>
      </c>
      <c r="AM141" s="2" t="inlineStr">
        <is>
          <t>Not Sent</t>
        </is>
      </c>
      <c r="AN141" s="2" t="n"/>
      <c r="AO141" s="2" t="inlineStr">
        <is>
          <t>Batch 2 | Email seen in search-result summary only; exact-match verification search could not be run (session web search budget exhausted). Email domain (advancedsolartech.com.au) differs from website domain. | Email seen in search results but not independently corroborated; verify on website before sending.</t>
        </is>
      </c>
    </row>
    <row r="142">
      <c r="A142" s="2" t="inlineStr"/>
      <c r="B142" s="2" t="inlineStr">
        <is>
          <t>SolarRight WA</t>
        </is>
      </c>
      <c r="C142" s="2" t="inlineStr"/>
      <c r="D142" s="2" t="inlineStr"/>
      <c r="E142" s="2" t="inlineStr">
        <is>
          <t>info@solarrightwa.com.au</t>
        </is>
      </c>
      <c r="F142" s="2" t="inlineStr">
        <is>
          <t>Australia</t>
        </is>
      </c>
      <c r="G142" s="2" t="inlineStr">
        <is>
          <t>WA</t>
        </is>
      </c>
      <c r="H142" s="2" t="inlineStr">
        <is>
          <t>Perth</t>
        </is>
      </c>
      <c r="I142" s="2" t="inlineStr">
        <is>
          <t>https://solarrightwa.com.au/</t>
        </is>
      </c>
      <c r="J142" s="2" t="inlineStr">
        <is>
          <t>Residential solar installer</t>
        </is>
      </c>
      <c r="K142" s="2" t="inlineStr">
        <is>
          <t>Solar PV</t>
        </is>
      </c>
      <c r="L142" s="2" t="inlineStr">
        <is>
          <t>Residential</t>
        </is>
      </c>
      <c r="M142" s="2" t="inlineStr">
        <is>
          <t>Unknown</t>
        </is>
      </c>
      <c r="N142" s="2" t="inlineStr">
        <is>
          <t>Perth</t>
        </is>
      </c>
      <c r="O142" s="2" t="inlineStr">
        <is>
          <t>Unknown</t>
        </is>
      </c>
      <c r="P142" s="2" t="inlineStr">
        <is>
          <t>Unknown</t>
        </is>
      </c>
      <c r="Q142" s="2" t="inlineStr">
        <is>
          <t>Unknown</t>
        </is>
      </c>
      <c r="R142" s="2" t="inlineStr">
        <is>
          <t>Unknown</t>
        </is>
      </c>
      <c r="S142" s="2" t="inlineStr">
        <is>
          <t>Unknown</t>
        </is>
      </c>
      <c r="T142" s="2" t="inlineStr">
        <is>
          <t>Unknown</t>
        </is>
      </c>
      <c r="U142" s="2" t="inlineStr">
        <is>
          <t>Phone + email</t>
        </is>
      </c>
      <c r="V142" s="2" t="inlineStr">
        <is>
          <t>Website; phone; email</t>
        </is>
      </c>
      <c r="W142" s="2" t="inlineStr">
        <is>
          <t>None found</t>
        </is>
      </c>
      <c r="X142" s="2" t="inlineStr">
        <is>
          <t>None found</t>
        </is>
      </c>
      <c r="Y142" s="2" t="inlineStr">
        <is>
          <t>None found</t>
        </is>
      </c>
      <c r="Z142" s="2" t="inlineStr">
        <is>
          <t>Website contact/quote enquiry followed by phone/email follow-up</t>
        </is>
      </c>
      <c r="AA142" s="2" t="inlineStr">
        <is>
          <t>Quote request automation</t>
        </is>
      </c>
      <c r="AB142" s="2" t="inlineStr">
        <is>
          <t>Medium</t>
        </is>
      </c>
      <c r="AC142" s="2" t="inlineStr">
        <is>
          <t>Your website presents SolarRight WA as a residential solar installer serving Perth.</t>
        </is>
      </c>
      <c r="AD142" s="2" t="inlineStr">
        <is>
          <t>Supports the quote request automation idea: Website contact/quote enquiry followed by phone/email follow-up</t>
        </is>
      </c>
      <c r="AE142" s="2" t="inlineStr">
        <is>
          <t>I came across SolarRight WA and noticed your website presents SolarRight WA as a residential solar installer serving Perth.</t>
        </is>
      </c>
      <c r="AF142" s="2" t="inlineStr">
        <is>
          <t>A solar quote workflow idea</t>
        </is>
      </c>
      <c r="AG142" s="2" t="inlineStr">
        <is>
          <t>Hi SolarRight WA team,
I came across SolarRight WA and noticed your website presents SolarRight WA as a residential solar installer serving Perth.
I work with businesses on AI and workflow automation. For a solar company like SolarRight WA,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42" s="2" t="inlineStr">
        <is>
          <t>https://solarrightwa.com.au/contact-us/</t>
        </is>
      </c>
      <c r="AI142" s="2" t="inlineStr">
        <is>
          <t>Contact page 'Contact Us for the solar solutions in Perth -SolarRight WA'.</t>
        </is>
      </c>
      <c r="AJ142" s="2" t="inlineStr">
        <is>
          <t>Company website (contact page)</t>
        </is>
      </c>
      <c r="AK142" s="2" t="inlineStr">
        <is>
          <t>Medium</t>
        </is>
      </c>
      <c r="AL142" s="2" t="inlineStr">
        <is>
          <t>Review</t>
        </is>
      </c>
      <c r="AM142" s="2" t="inlineStr">
        <is>
          <t>Not Sent</t>
        </is>
      </c>
      <c r="AN142" s="2" t="n"/>
      <c r="AO142" s="2" t="inlineStr">
        <is>
          <t>Batch 2 | Email seen in search-result summary only; exact-match verification search could not be run (session web search budget exhausted). | Email seen in search results but not independently corroborated; verify on website before sending.</t>
        </is>
      </c>
    </row>
    <row r="143">
      <c r="A143" s="2" t="inlineStr"/>
      <c r="B143" s="2" t="inlineStr">
        <is>
          <t>REST Energy</t>
        </is>
      </c>
      <c r="C143" s="2" t="inlineStr"/>
      <c r="D143" s="2" t="inlineStr"/>
      <c r="E143" s="2" t="inlineStr">
        <is>
          <t>info@restenergy.com.au</t>
        </is>
      </c>
      <c r="F143" s="2" t="inlineStr">
        <is>
          <t>Australia</t>
        </is>
      </c>
      <c r="G143" s="2" t="inlineStr">
        <is>
          <t>TAS</t>
        </is>
      </c>
      <c r="H143" s="2" t="inlineStr">
        <is>
          <t>Hobart</t>
        </is>
      </c>
      <c r="I143" s="2" t="inlineStr">
        <is>
          <t>https://www.restenergy.com.au/</t>
        </is>
      </c>
      <c r="J143" s="2" t="inlineStr">
        <is>
          <t>Residential &amp; commercial solar installer</t>
        </is>
      </c>
      <c r="K143" s="2" t="inlineStr">
        <is>
          <t>Solar PV, batteries</t>
        </is>
      </c>
      <c r="L143" s="2" t="inlineStr">
        <is>
          <t>Residential &amp; Commercial</t>
        </is>
      </c>
      <c r="M143" s="2" t="inlineStr">
        <is>
          <t>Unknown</t>
        </is>
      </c>
      <c r="N143" s="2" t="inlineStr">
        <is>
          <t>Tasmania</t>
        </is>
      </c>
      <c r="O143" s="2" t="inlineStr">
        <is>
          <t>Unknown</t>
        </is>
      </c>
      <c r="P143" s="2" t="inlineStr">
        <is>
          <t>Unknown</t>
        </is>
      </c>
      <c r="Q143" s="2" t="inlineStr">
        <is>
          <t>Unknown</t>
        </is>
      </c>
      <c r="R143" s="2" t="inlineStr">
        <is>
          <t>Unknown</t>
        </is>
      </c>
      <c r="S143" s="2" t="inlineStr">
        <is>
          <t>Unknown</t>
        </is>
      </c>
      <c r="T143" s="2" t="inlineStr">
        <is>
          <t>Unknown</t>
        </is>
      </c>
      <c r="U143" s="2" t="inlineStr">
        <is>
          <t>Phone + email</t>
        </is>
      </c>
      <c r="V143" s="2" t="inlineStr">
        <is>
          <t>Website; phone; email</t>
        </is>
      </c>
      <c r="W143" s="2" t="inlineStr">
        <is>
          <t>None found</t>
        </is>
      </c>
      <c r="X143" s="2" t="inlineStr">
        <is>
          <t>None found</t>
        </is>
      </c>
      <c r="Y143" s="2" t="inlineStr">
        <is>
          <t>None found</t>
        </is>
      </c>
      <c r="Z143" s="2" t="inlineStr">
        <is>
          <t>Website contact/quote enquiry followed by phone/email follow-up</t>
        </is>
      </c>
      <c r="AA143" s="2" t="inlineStr">
        <is>
          <t>Quote request automation</t>
        </is>
      </c>
      <c r="AB143" s="2" t="inlineStr">
        <is>
          <t>Medium</t>
        </is>
      </c>
      <c r="AC143" s="2" t="inlineStr">
        <is>
          <t>Your site positions REST Energy as a Tasmanian renewable energy solutions provider.</t>
        </is>
      </c>
      <c r="AD143" s="2" t="inlineStr">
        <is>
          <t>Supports the quote request automation idea: Website contact/quote enquiry followed by phone/email follow-up</t>
        </is>
      </c>
      <c r="AE143" s="2" t="inlineStr">
        <is>
          <t>I noticed your site positions REST Energy as a Tasmanian renewable energy solutions provider.</t>
        </is>
      </c>
      <c r="AF143" s="2" t="inlineStr">
        <is>
          <t>Quote requests at REST Energy</t>
        </is>
      </c>
      <c r="AG143" s="2" t="inlineStr">
        <is>
          <t>Hi REST Energy team,
I noticed your site positions REST Energy as a Tasmanian renewable energy solutions provider.
I work with businesses on AI and workflow automation. For a solar company like REST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43" s="2" t="inlineStr">
        <is>
          <t>https://www.restenergy.com.au/</t>
        </is>
      </c>
      <c r="AI143" s="2" t="inlineStr">
        <is>
          <t>Title 'Renewable Energy Solutions Tasmania | REST Energy | Tasmanian Solar'; phone 0439 750 418.</t>
        </is>
      </c>
      <c r="AJ143" s="2" t="inlineStr">
        <is>
          <t>Company website (homepage)</t>
        </is>
      </c>
      <c r="AK143" s="2" t="inlineStr">
        <is>
          <t>Medium</t>
        </is>
      </c>
      <c r="AL143" s="2" t="inlineStr">
        <is>
          <t>Review</t>
        </is>
      </c>
      <c r="AM143" s="2" t="inlineStr">
        <is>
          <t>Not Sent</t>
        </is>
      </c>
      <c r="AN143" s="2" t="n"/>
      <c r="AO143" s="2" t="inlineStr">
        <is>
          <t>Batch 2 | Email seen in search-result summary only; exact-match verification search could not be run (session web search budget exhausted). | Email seen in search results but not independently corroborated; verify on website before sending.</t>
        </is>
      </c>
    </row>
    <row r="144">
      <c r="A144" s="2" t="inlineStr"/>
      <c r="B144" s="2" t="inlineStr">
        <is>
          <t>Ultra Greensun Solar Tasmania</t>
        </is>
      </c>
      <c r="C144" s="2" t="inlineStr"/>
      <c r="D144" s="2" t="inlineStr"/>
      <c r="E144" s="2" t="inlineStr">
        <is>
          <t>roland@ultragreensunsth.com.au</t>
        </is>
      </c>
      <c r="F144" s="2" t="inlineStr">
        <is>
          <t>Australia</t>
        </is>
      </c>
      <c r="G144" s="2" t="inlineStr">
        <is>
          <t>TAS</t>
        </is>
      </c>
      <c r="H144" s="2" t="inlineStr">
        <is>
          <t>Hobart</t>
        </is>
      </c>
      <c r="I144" s="2" t="inlineStr">
        <is>
          <t>https://www.ultragreensunsth.com.au/</t>
        </is>
      </c>
      <c r="J144" s="2" t="inlineStr">
        <is>
          <t>Solar &amp; battery installer</t>
        </is>
      </c>
      <c r="K144" s="2" t="inlineStr">
        <is>
          <t>Solar PV, battery storage</t>
        </is>
      </c>
      <c r="L144" s="2" t="inlineStr">
        <is>
          <t>Residential</t>
        </is>
      </c>
      <c r="M144" s="2" t="inlineStr">
        <is>
          <t>Unknown</t>
        </is>
      </c>
      <c r="N144" s="2" t="inlineStr">
        <is>
          <t>Hobart / Tasmania</t>
        </is>
      </c>
      <c r="O144" s="2" t="inlineStr">
        <is>
          <t>Unknown</t>
        </is>
      </c>
      <c r="P144" s="2" t="inlineStr">
        <is>
          <t>Unknown</t>
        </is>
      </c>
      <c r="Q144" s="2" t="inlineStr">
        <is>
          <t>Unknown</t>
        </is>
      </c>
      <c r="R144" s="2" t="inlineStr">
        <is>
          <t>Unknown</t>
        </is>
      </c>
      <c r="S144" s="2" t="inlineStr">
        <is>
          <t>Unknown</t>
        </is>
      </c>
      <c r="T144" s="2" t="inlineStr">
        <is>
          <t>Unknown</t>
        </is>
      </c>
      <c r="U144" s="2" t="inlineStr">
        <is>
          <t>Phone + email</t>
        </is>
      </c>
      <c r="V144" s="2" t="inlineStr">
        <is>
          <t>Website; phone; email</t>
        </is>
      </c>
      <c r="W144" s="2" t="inlineStr">
        <is>
          <t>None found</t>
        </is>
      </c>
      <c r="X144" s="2" t="inlineStr">
        <is>
          <t>None found</t>
        </is>
      </c>
      <c r="Y144" s="2" t="inlineStr">
        <is>
          <t>None found</t>
        </is>
      </c>
      <c r="Z144" s="2" t="inlineStr">
        <is>
          <t>Website contact/quote enquiry followed by phone/email follow-up</t>
        </is>
      </c>
      <c r="AA144" s="2" t="inlineStr">
        <is>
          <t>Quote request automation</t>
        </is>
      </c>
      <c r="AB144" s="2" t="inlineStr">
        <is>
          <t>Low</t>
        </is>
      </c>
      <c r="AC144" s="2" t="inlineStr">
        <is>
          <t>Your website presents Ultra Greensun Solar Tasmania as a solar &amp; battery installer serving Hobart / Tasmania.</t>
        </is>
      </c>
      <c r="AD144" s="2" t="inlineStr">
        <is>
          <t>Supports the quote request automation idea: Website contact/quote enquiry followed by phone/email follow-up</t>
        </is>
      </c>
      <c r="AE144" s="2" t="inlineStr">
        <is>
          <t>I noticed your website presents Ultra Greensun Solar Tasmania as a solar &amp; battery installer serving Hobart / Tasmania.</t>
        </is>
      </c>
      <c r="AF144" s="2" t="inlineStr">
        <is>
          <t>A solar quote workflow idea</t>
        </is>
      </c>
      <c r="AG144" s="2" t="inlineStr">
        <is>
          <t>Hi Ultra Greensun Solar Tasmania team,
I noticed your website presents Ultra Greensun Solar Tasmania as a solar &amp; battery installer serving Hobart / Tasmania.
I work with businesses on AI and workflow automation. For a solar company like Ultra Greensun Solar Tasmania,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44" s="2" t="inlineStr">
        <is>
          <t>https://www.ultragreensunsth.com.au/</t>
        </is>
      </c>
      <c r="AI144" s="2" t="inlineStr">
        <is>
          <t>Title 'Solar Installations - Ultra Greensun Solar Tasmania'; summary: contact Roland on 0458 481 405.</t>
        </is>
      </c>
      <c r="AJ144" s="2" t="inlineStr">
        <is>
          <t>Company website (homepage)</t>
        </is>
      </c>
      <c r="AK144" s="2" t="inlineStr">
        <is>
          <t>Medium</t>
        </is>
      </c>
      <c r="AL144" s="2" t="inlineStr">
        <is>
          <t>Review</t>
        </is>
      </c>
      <c r="AM144" s="2" t="inlineStr">
        <is>
          <t>Not Sent</t>
        </is>
      </c>
      <c r="AN144" s="2" t="n"/>
      <c r="AO144" s="2" t="inlineStr">
        <is>
          <t>Batch 2 | Email seen in search-result summary only; exact-match verification search could not be run (session web search budget exhausted). Contact named Roland but role not stated, so name fields left blank. | Email seen in search results but not independently corroborated; verify on website before sending.</t>
        </is>
      </c>
    </row>
    <row r="145">
      <c r="A145" s="2" t="inlineStr"/>
      <c r="B145" s="2" t="inlineStr">
        <is>
          <t>Launceston Electrical Solutions</t>
        </is>
      </c>
      <c r="C145" s="2" t="inlineStr"/>
      <c r="D145" s="2" t="inlineStr"/>
      <c r="E145" s="2" t="inlineStr">
        <is>
          <t>admin@lestas.com.au</t>
        </is>
      </c>
      <c r="F145" s="2" t="inlineStr">
        <is>
          <t>Australia</t>
        </is>
      </c>
      <c r="G145" s="2" t="inlineStr">
        <is>
          <t>TAS</t>
        </is>
      </c>
      <c r="H145" s="2" t="inlineStr">
        <is>
          <t>Launceston</t>
        </is>
      </c>
      <c r="I145" s="2" t="inlineStr">
        <is>
          <t>https://lestas.com.au/</t>
        </is>
      </c>
      <c r="J145" s="2" t="inlineStr">
        <is>
          <t>Solar maintenance</t>
        </is>
      </c>
      <c r="K145" s="2" t="inlineStr">
        <is>
          <t>Solar maintenance, electrical</t>
        </is>
      </c>
      <c r="L145" s="2" t="inlineStr">
        <is>
          <t>Residential</t>
        </is>
      </c>
      <c r="M145" s="2" t="inlineStr">
        <is>
          <t>Unknown</t>
        </is>
      </c>
      <c r="N145" s="2" t="inlineStr">
        <is>
          <t>Launceston / Northern Tasmania</t>
        </is>
      </c>
      <c r="O145" s="2" t="inlineStr">
        <is>
          <t>Unknown</t>
        </is>
      </c>
      <c r="P145" s="2" t="inlineStr">
        <is>
          <t>Unknown</t>
        </is>
      </c>
      <c r="Q145" s="2" t="inlineStr">
        <is>
          <t>Unknown</t>
        </is>
      </c>
      <c r="R145" s="2" t="inlineStr">
        <is>
          <t>Unknown</t>
        </is>
      </c>
      <c r="S145" s="2" t="inlineStr">
        <is>
          <t>Unknown</t>
        </is>
      </c>
      <c r="T145" s="2" t="inlineStr">
        <is>
          <t>Unknown</t>
        </is>
      </c>
      <c r="U145" s="2" t="inlineStr">
        <is>
          <t>Phone + email</t>
        </is>
      </c>
      <c r="V145" s="2" t="inlineStr">
        <is>
          <t>Website; phone; email</t>
        </is>
      </c>
      <c r="W145" s="2" t="inlineStr">
        <is>
          <t>None found</t>
        </is>
      </c>
      <c r="X145" s="2" t="inlineStr">
        <is>
          <t>None found</t>
        </is>
      </c>
      <c r="Y145" s="2" t="inlineStr">
        <is>
          <t>None found</t>
        </is>
      </c>
      <c r="Z145" s="2" t="inlineStr">
        <is>
          <t>Website contact/quote enquiry followed by phone/email follow-up</t>
        </is>
      </c>
      <c r="AA145" s="2" t="inlineStr">
        <is>
          <t>Customer support automation</t>
        </is>
      </c>
      <c r="AB145" s="2" t="inlineStr">
        <is>
          <t>Low</t>
        </is>
      </c>
      <c r="AC145" s="2" t="inlineStr">
        <is>
          <t>Your website presents Launceston Electrical Solutions as a solar maintenance serving Launceston / Northern Tasmania.</t>
        </is>
      </c>
      <c r="AD145" s="2" t="inlineStr">
        <is>
          <t>Supports the customer support automation idea: Website contact/quote enquiry followed by phone/email follow-up</t>
        </is>
      </c>
      <c r="AE145" s="2" t="inlineStr">
        <is>
          <t>I came across Launceston Electrical Solutions and noticed your website presents Launceston Electrical Solutions as a solar maintenance serving Launceston / Northern Tasmania.</t>
        </is>
      </c>
      <c r="AF145" s="2" t="inlineStr">
        <is>
          <t>A support workflow idea for Launceston Electrical Solutions</t>
        </is>
      </c>
      <c r="AG145" s="2" t="inlineStr">
        <is>
          <t>Hi Launceston Electrical Solutions team,
I came across Launceston Electrical Solutions and noticed your website presents Launceston Electrical Solutions as a solar maintenance serving Launceston / Northern Tasmania.
I work with businesses on AI and workflow automation. For a solar company like Launceston Electrical Solutions,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145" s="2" t="inlineStr">
        <is>
          <t>https://cbos.tas.gov.au/solar/contractor-list</t>
        </is>
      </c>
      <c r="AI145" s="2" t="inlineStr">
        <is>
          <t>Listed on Tasmanian CBOS 'Find a solar maintenance contractor' list with contact Sam Lincoln, 0439 320 635.</t>
        </is>
      </c>
      <c r="AJ145" s="2" t="inlineStr">
        <is>
          <t>Government contractor list</t>
        </is>
      </c>
      <c r="AK145" s="2" t="inlineStr">
        <is>
          <t>Low</t>
        </is>
      </c>
      <c r="AL145" s="2" t="inlineStr">
        <is>
          <t>Review</t>
        </is>
      </c>
      <c r="AM145" s="2" t="inlineStr">
        <is>
          <t>Not Sent</t>
        </is>
      </c>
      <c r="AN145" s="2" t="n"/>
      <c r="AO145" s="2" t="inlineStr">
        <is>
          <t>Batch 2 | Email seen in search-result summary only; exact-match verification search could not be run (session web search budget exhausted). Website inferred from email domain, not seen directly. Contact person role not stated. | Email seen in search results but not independently corroborated; verify on website before sending.</t>
        </is>
      </c>
    </row>
    <row r="146">
      <c r="A146" s="2" t="inlineStr"/>
      <c r="B146" s="2" t="inlineStr">
        <is>
          <t>Power Solutions Tasmania</t>
        </is>
      </c>
      <c r="C146" s="2" t="inlineStr"/>
      <c r="D146" s="2" t="inlineStr"/>
      <c r="E146" s="2" t="inlineStr">
        <is>
          <t>admin@pstasmania.com.au</t>
        </is>
      </c>
      <c r="F146" s="2" t="inlineStr">
        <is>
          <t>Australia</t>
        </is>
      </c>
      <c r="G146" s="2" t="inlineStr">
        <is>
          <t>TAS</t>
        </is>
      </c>
      <c r="H146" s="2" t="inlineStr"/>
      <c r="I146" s="2" t="inlineStr">
        <is>
          <t>https://pstasmania.com.au/</t>
        </is>
      </c>
      <c r="J146" s="2" t="inlineStr">
        <is>
          <t>Solar maintenance</t>
        </is>
      </c>
      <c r="K146" s="2" t="inlineStr">
        <is>
          <t>Solar maintenance, electrical</t>
        </is>
      </c>
      <c r="L146" s="2" t="inlineStr">
        <is>
          <t>Residential</t>
        </is>
      </c>
      <c r="M146" s="2" t="inlineStr">
        <is>
          <t>Unknown</t>
        </is>
      </c>
      <c r="N146" s="2" t="inlineStr">
        <is>
          <t>Tasmania</t>
        </is>
      </c>
      <c r="O146" s="2" t="inlineStr">
        <is>
          <t>Unknown</t>
        </is>
      </c>
      <c r="P146" s="2" t="inlineStr">
        <is>
          <t>Unknown</t>
        </is>
      </c>
      <c r="Q146" s="2" t="inlineStr">
        <is>
          <t>Unknown</t>
        </is>
      </c>
      <c r="R146" s="2" t="inlineStr">
        <is>
          <t>Unknown</t>
        </is>
      </c>
      <c r="S146" s="2" t="inlineStr">
        <is>
          <t>Unknown</t>
        </is>
      </c>
      <c r="T146" s="2" t="inlineStr">
        <is>
          <t>Unknown</t>
        </is>
      </c>
      <c r="U146" s="2" t="inlineStr">
        <is>
          <t>Phone + email</t>
        </is>
      </c>
      <c r="V146" s="2" t="inlineStr">
        <is>
          <t>Website; phone; email</t>
        </is>
      </c>
      <c r="W146" s="2" t="inlineStr">
        <is>
          <t>None found</t>
        </is>
      </c>
      <c r="X146" s="2" t="inlineStr">
        <is>
          <t>None found</t>
        </is>
      </c>
      <c r="Y146" s="2" t="inlineStr">
        <is>
          <t>None found</t>
        </is>
      </c>
      <c r="Z146" s="2" t="inlineStr">
        <is>
          <t>Website contact/quote enquiry followed by phone/email follow-up</t>
        </is>
      </c>
      <c r="AA146" s="2" t="inlineStr">
        <is>
          <t>Customer support automation</t>
        </is>
      </c>
      <c r="AB146" s="2" t="inlineStr">
        <is>
          <t>Low</t>
        </is>
      </c>
      <c r="AC146" s="2" t="inlineStr">
        <is>
          <t>Your website presents Power Solutions Tasmania as a solar maintenance serving Tasmania.</t>
        </is>
      </c>
      <c r="AD146" s="2" t="inlineStr">
        <is>
          <t>Supports the customer support automation idea: Website contact/quote enquiry followed by phone/email follow-up</t>
        </is>
      </c>
      <c r="AE146" s="2" t="inlineStr">
        <is>
          <t>I noticed your website presents Power Solutions Tasmania as a solar maintenance serving Tasmania.</t>
        </is>
      </c>
      <c r="AF146" s="2" t="inlineStr">
        <is>
          <t>Customer support at Power Solutions Tasmania</t>
        </is>
      </c>
      <c r="AG146" s="2" t="inlineStr">
        <is>
          <t>Hi Power Solutions Tasmania team,
I noticed your website presents Power Solutions Tasmania as a solar maintenance serving Tasmania.
I work with businesses on AI and workflow automation. For a solar company like Power Solutions Tasmania,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146" s="2" t="inlineStr">
        <is>
          <t>https://cbos.tas.gov.au/solar/contractor-list</t>
        </is>
      </c>
      <c r="AI146" s="2" t="inlineStr">
        <is>
          <t>Listed on Tasmanian CBOS solar maintenance contractor list (contact Kyle Skipworth, 0437 844 541).</t>
        </is>
      </c>
      <c r="AJ146" s="2" t="inlineStr">
        <is>
          <t>Government contractor list</t>
        </is>
      </c>
      <c r="AK146" s="2" t="inlineStr">
        <is>
          <t>Low</t>
        </is>
      </c>
      <c r="AL146" s="2" t="inlineStr">
        <is>
          <t>Review</t>
        </is>
      </c>
      <c r="AM146" s="2" t="inlineStr">
        <is>
          <t>Not Sent</t>
        </is>
      </c>
      <c r="AN146" s="2" t="n"/>
      <c r="AO146" s="2" t="inlineStr">
        <is>
          <t>Batch 2 | Email seen in search-result summary only; exact-match verification search could not be run (session web search budget exhausted). Website inferred from email domain. Contact role not stated; city unknown. | Email seen in search results but not independently corroborated; verify on website before sending.</t>
        </is>
      </c>
    </row>
    <row r="147">
      <c r="A147" s="2" t="inlineStr"/>
      <c r="B147" s="2" t="inlineStr">
        <is>
          <t>Rock Electrical</t>
        </is>
      </c>
      <c r="C147" s="2" t="inlineStr"/>
      <c r="D147" s="2" t="inlineStr"/>
      <c r="E147" s="2" t="inlineStr">
        <is>
          <t>info@rockelectrical.com.au</t>
        </is>
      </c>
      <c r="F147" s="2" t="inlineStr">
        <is>
          <t>Australia</t>
        </is>
      </c>
      <c r="G147" s="2" t="inlineStr">
        <is>
          <t>TAS</t>
        </is>
      </c>
      <c r="H147" s="2" t="inlineStr"/>
      <c r="I147" s="2" t="inlineStr">
        <is>
          <t>https://rockelectrical.com.au/</t>
        </is>
      </c>
      <c r="J147" s="2" t="inlineStr">
        <is>
          <t>Solar maintenance</t>
        </is>
      </c>
      <c r="K147" s="2" t="inlineStr">
        <is>
          <t>Solar maintenance, electrical</t>
        </is>
      </c>
      <c r="L147" s="2" t="inlineStr">
        <is>
          <t>Residential</t>
        </is>
      </c>
      <c r="M147" s="2" t="inlineStr">
        <is>
          <t>Unknown</t>
        </is>
      </c>
      <c r="N147" s="2" t="inlineStr">
        <is>
          <t>Tasmania</t>
        </is>
      </c>
      <c r="O147" s="2" t="inlineStr">
        <is>
          <t>Unknown</t>
        </is>
      </c>
      <c r="P147" s="2" t="inlineStr">
        <is>
          <t>Unknown</t>
        </is>
      </c>
      <c r="Q147" s="2" t="inlineStr">
        <is>
          <t>Unknown</t>
        </is>
      </c>
      <c r="R147" s="2" t="inlineStr">
        <is>
          <t>Unknown</t>
        </is>
      </c>
      <c r="S147" s="2" t="inlineStr">
        <is>
          <t>Unknown</t>
        </is>
      </c>
      <c r="T147" s="2" t="inlineStr">
        <is>
          <t>Unknown</t>
        </is>
      </c>
      <c r="U147" s="2" t="inlineStr">
        <is>
          <t>Phone + email</t>
        </is>
      </c>
      <c r="V147" s="2" t="inlineStr">
        <is>
          <t>Website; phone; email</t>
        </is>
      </c>
      <c r="W147" s="2" t="inlineStr">
        <is>
          <t>None found</t>
        </is>
      </c>
      <c r="X147" s="2" t="inlineStr">
        <is>
          <t>None found</t>
        </is>
      </c>
      <c r="Y147" s="2" t="inlineStr">
        <is>
          <t>None found</t>
        </is>
      </c>
      <c r="Z147" s="2" t="inlineStr">
        <is>
          <t>Website contact/quote enquiry followed by phone/email follow-up</t>
        </is>
      </c>
      <c r="AA147" s="2" t="inlineStr">
        <is>
          <t>Customer support automation</t>
        </is>
      </c>
      <c r="AB147" s="2" t="inlineStr">
        <is>
          <t>Low</t>
        </is>
      </c>
      <c r="AC147" s="2" t="inlineStr">
        <is>
          <t>Your website presents Rock Electrical as a solar maintenance serving Tasmania.</t>
        </is>
      </c>
      <c r="AD147" s="2" t="inlineStr">
        <is>
          <t>Supports the customer support automation idea: Website contact/quote enquiry followed by phone/email follow-up</t>
        </is>
      </c>
      <c r="AE147" s="2" t="inlineStr">
        <is>
          <t>I noticed your website presents Rock Electrical as a solar maintenance serving Tasmania.</t>
        </is>
      </c>
      <c r="AF147" s="2" t="inlineStr">
        <is>
          <t>A support workflow idea for Rock Electrical</t>
        </is>
      </c>
      <c r="AG147" s="2" t="inlineStr">
        <is>
          <t>Hi Rock Electrical team,
I noticed your website presents Rock Electrical as a solar maintenance serving Tasmania.
I work with businesses on AI and workflow automation. For a solar company like Rock Electrical,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147" s="2" t="inlineStr">
        <is>
          <t>https://cbos.tas.gov.au/solar/contractor-list</t>
        </is>
      </c>
      <c r="AI147" s="2" t="inlineStr">
        <is>
          <t>Listed on Tasmanian CBOS solar maintenance contractor list (contact Josh Foster, 0439 765 533).</t>
        </is>
      </c>
      <c r="AJ147" s="2" t="inlineStr">
        <is>
          <t>Government contractor list</t>
        </is>
      </c>
      <c r="AK147" s="2" t="inlineStr">
        <is>
          <t>Low</t>
        </is>
      </c>
      <c r="AL147" s="2" t="inlineStr">
        <is>
          <t>Review</t>
        </is>
      </c>
      <c r="AM147" s="2" t="inlineStr">
        <is>
          <t>Not Sent</t>
        </is>
      </c>
      <c r="AN147" s="2" t="n"/>
      <c r="AO147" s="2" t="inlineStr">
        <is>
          <t>Batch 2 | Email seen in search-result summary only; exact-match verification search could not be run (session web search budget exhausted). Website inferred from email domain. Contact role not stated; city unknown. | Email seen in search results but not independently corroborated; verify on website before sending.</t>
        </is>
      </c>
    </row>
    <row r="148">
      <c r="A148" s="2" t="inlineStr"/>
      <c r="B148" s="2" t="inlineStr">
        <is>
          <t>SolarCity NT</t>
        </is>
      </c>
      <c r="C148" s="2" t="inlineStr"/>
      <c r="D148" s="2" t="inlineStr"/>
      <c r="E148" s="2" t="inlineStr">
        <is>
          <t>info@solarcitynt.com.au</t>
        </is>
      </c>
      <c r="F148" s="2" t="inlineStr">
        <is>
          <t>Australia</t>
        </is>
      </c>
      <c r="G148" s="2" t="inlineStr">
        <is>
          <t>NT</t>
        </is>
      </c>
      <c r="H148" s="2" t="inlineStr">
        <is>
          <t>East Arm</t>
        </is>
      </c>
      <c r="I148" s="2" t="inlineStr">
        <is>
          <t>https://solarcitynt.com.au/</t>
        </is>
      </c>
      <c r="J148" s="2" t="inlineStr">
        <is>
          <t>Residential &amp; commercial solar installer</t>
        </is>
      </c>
      <c r="K148" s="2" t="inlineStr">
        <is>
          <t>Solar PV</t>
        </is>
      </c>
      <c r="L148" s="2" t="inlineStr">
        <is>
          <t>Residential &amp; Commercial</t>
        </is>
      </c>
      <c r="M148" s="2" t="inlineStr">
        <is>
          <t>Unknown</t>
        </is>
      </c>
      <c r="N148" s="2" t="inlineStr">
        <is>
          <t>Darwin / NT</t>
        </is>
      </c>
      <c r="O148" s="2" t="inlineStr">
        <is>
          <t>1 (1 Nebo Rd, East Arm NT)</t>
        </is>
      </c>
      <c r="P148" s="2" t="inlineStr">
        <is>
          <t>Unknown</t>
        </is>
      </c>
      <c r="Q148" s="2" t="inlineStr">
        <is>
          <t>Unknown</t>
        </is>
      </c>
      <c r="R148" s="2" t="inlineStr">
        <is>
          <t>Unknown</t>
        </is>
      </c>
      <c r="S148" s="2" t="inlineStr">
        <is>
          <t>Unknown</t>
        </is>
      </c>
      <c r="T148" s="2" t="inlineStr">
        <is>
          <t>Unknown</t>
        </is>
      </c>
      <c r="U148" s="2" t="inlineStr">
        <is>
          <t>Phone + email</t>
        </is>
      </c>
      <c r="V148" s="2" t="inlineStr">
        <is>
          <t>Website; phone; email</t>
        </is>
      </c>
      <c r="W148" s="2" t="inlineStr">
        <is>
          <t>None found</t>
        </is>
      </c>
      <c r="X148" s="2" t="inlineStr">
        <is>
          <t>None found</t>
        </is>
      </c>
      <c r="Y148" s="2" t="inlineStr">
        <is>
          <t>None found</t>
        </is>
      </c>
      <c r="Z148" s="2" t="inlineStr">
        <is>
          <t>Website contact/quote enquiry followed by phone/email follow-up</t>
        </is>
      </c>
      <c r="AA148" s="2" t="inlineStr">
        <is>
          <t>Quote request automation</t>
        </is>
      </c>
      <c r="AB148" s="2" t="inlineStr">
        <is>
          <t>Medium</t>
        </is>
      </c>
      <c r="AC148" s="2" t="inlineStr">
        <is>
          <t>Your contact page lists your East Arm base at 1 Nebo Road.</t>
        </is>
      </c>
      <c r="AD148" s="2" t="inlineStr">
        <is>
          <t>Supports the quote request automation idea: Website contact/quote enquiry followed by phone/email follow-up</t>
        </is>
      </c>
      <c r="AE148" s="2" t="inlineStr">
        <is>
          <t>I came across SolarCity NT and noticed your contact page lists your East Arm base at 1 Nebo Road.</t>
        </is>
      </c>
      <c r="AF148" s="2" t="inlineStr">
        <is>
          <t>A solar quote workflow idea</t>
        </is>
      </c>
      <c r="AG148" s="2" t="inlineStr">
        <is>
          <t>Hi SolarCity NT team,
I came across SolarCity NT and noticed your contact page lists your East Arm base at 1 Nebo Road.
I work with businesses on AI and workflow automation. For a solar company like SolarCity NT,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48" s="2" t="inlineStr">
        <is>
          <t>https://solarcitynt.com.au/contact-us/</t>
        </is>
      </c>
      <c r="AI148" s="2" t="inlineStr">
        <is>
          <t>Contact page; address 1 Nebo Road, East Arm; phone (08) 8947 4198; residential solar Darwin page.</t>
        </is>
      </c>
      <c r="AJ148" s="2" t="inlineStr">
        <is>
          <t>Company website (contact page)</t>
        </is>
      </c>
      <c r="AK148" s="2" t="inlineStr">
        <is>
          <t>Medium</t>
        </is>
      </c>
      <c r="AL148" s="2" t="inlineStr">
        <is>
          <t>Review</t>
        </is>
      </c>
      <c r="AM148" s="2" t="inlineStr">
        <is>
          <t>Not Sent</t>
        </is>
      </c>
      <c r="AN148" s="2" t="n"/>
      <c r="AO148" s="2" t="inlineStr">
        <is>
          <t>Batch 2 | Email seen in search-result summary only; exact-match verification search could not be run (session web search budget exhausted). | Email seen in search results but not independently corroborated; verify on website before sending.</t>
        </is>
      </c>
    </row>
    <row r="149">
      <c r="A149" s="2" t="inlineStr"/>
      <c r="B149" s="2" t="inlineStr">
        <is>
          <t>Eco Sparks Solar &amp; Electrical Contractors</t>
        </is>
      </c>
      <c r="C149" s="2" t="inlineStr"/>
      <c r="D149" s="2" t="inlineStr"/>
      <c r="E149" s="2" t="inlineStr">
        <is>
          <t>solar@ecosparks.com.au</t>
        </is>
      </c>
      <c r="F149" s="2" t="inlineStr">
        <is>
          <t>Australia</t>
        </is>
      </c>
      <c r="G149" s="2" t="inlineStr">
        <is>
          <t>NT</t>
        </is>
      </c>
      <c r="H149" s="2" t="inlineStr">
        <is>
          <t>Darwin</t>
        </is>
      </c>
      <c r="I149" s="2" t="inlineStr">
        <is>
          <t>https://www.ecosparks.com.au/</t>
        </is>
      </c>
      <c r="J149" s="2" t="inlineStr">
        <is>
          <t>Residential &amp; commercial solar installer</t>
        </is>
      </c>
      <c r="K149" s="2" t="inlineStr">
        <is>
          <t>Solar systems, electrical</t>
        </is>
      </c>
      <c r="L149" s="2" t="inlineStr">
        <is>
          <t>Residential &amp; Commercial</t>
        </is>
      </c>
      <c r="M149" s="2" t="inlineStr">
        <is>
          <t>Unknown</t>
        </is>
      </c>
      <c r="N149" s="2" t="inlineStr">
        <is>
          <t>Darwin</t>
        </is>
      </c>
      <c r="O149" s="2" t="inlineStr">
        <is>
          <t>Unknown</t>
        </is>
      </c>
      <c r="P149" s="2" t="inlineStr">
        <is>
          <t>Unknown</t>
        </is>
      </c>
      <c r="Q149" s="2" t="inlineStr">
        <is>
          <t>Unknown</t>
        </is>
      </c>
      <c r="R149" s="2" t="inlineStr">
        <is>
          <t>Unknown</t>
        </is>
      </c>
      <c r="S149" s="2" t="inlineStr">
        <is>
          <t>Unknown</t>
        </is>
      </c>
      <c r="T149" s="2" t="inlineStr">
        <is>
          <t>Unknown</t>
        </is>
      </c>
      <c r="U149" s="2" t="inlineStr">
        <is>
          <t>Phone + email</t>
        </is>
      </c>
      <c r="V149" s="2" t="inlineStr">
        <is>
          <t>Website; phone; email</t>
        </is>
      </c>
      <c r="W149" s="2" t="inlineStr">
        <is>
          <t>None found</t>
        </is>
      </c>
      <c r="X149" s="2" t="inlineStr">
        <is>
          <t>None found</t>
        </is>
      </c>
      <c r="Y149" s="2" t="inlineStr">
        <is>
          <t>None found</t>
        </is>
      </c>
      <c r="Z149" s="2" t="inlineStr">
        <is>
          <t>Website contact/quote enquiry followed by phone/email follow-up</t>
        </is>
      </c>
      <c r="AA149" s="2" t="inlineStr">
        <is>
          <t>Quote request automation</t>
        </is>
      </c>
      <c r="AB149" s="2" t="inlineStr">
        <is>
          <t>Medium</t>
        </is>
      </c>
      <c r="AC149" s="2" t="inlineStr">
        <is>
          <t>Your website presents Eco Sparks Solar &amp; Electrical Contractors as a residential &amp; commercial solar installer serving Darwin.</t>
        </is>
      </c>
      <c r="AD149" s="2" t="inlineStr">
        <is>
          <t>Supports the quote request automation idea: Website contact/quote enquiry followed by phone/email follow-up</t>
        </is>
      </c>
      <c r="AE149" s="2" t="inlineStr">
        <is>
          <t>I noticed your website presents Eco Sparks Solar &amp; Electrical Contractors as a residential &amp; commercial solar installer serving Darwin.</t>
        </is>
      </c>
      <c r="AF149" s="2" t="inlineStr">
        <is>
          <t>Quote requests at Eco Sparks Solar &amp; Electrical Contractors</t>
        </is>
      </c>
      <c r="AG149" s="2" t="inlineStr">
        <is>
          <t>Hi Eco Sparks Solar &amp; Electrical Contractors team,
I noticed your website presents Eco Sparks Solar &amp; Electrical Contractors as a residential &amp; commercial solar installer serving Darwin.
I work with businesses on AI and workflow automation. For a solar company like Eco Sparks Solar &amp; Electrical Contractors,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49" s="2" t="inlineStr">
        <is>
          <t>https://www.ecosparks.com.au/solar-systems</t>
        </is>
      </c>
      <c r="AI149" s="2" t="inlineStr">
        <is>
          <t>Title 'Solar Installation in Darwin | Eco Sparks Solar &amp; Electrical Contractors'; phone (08) 8941 2729.</t>
        </is>
      </c>
      <c r="AJ149" s="2" t="inlineStr">
        <is>
          <t>Company website (homepage)</t>
        </is>
      </c>
      <c r="AK149" s="2" t="inlineStr">
        <is>
          <t>Medium</t>
        </is>
      </c>
      <c r="AL149" s="2" t="inlineStr">
        <is>
          <t>Review</t>
        </is>
      </c>
      <c r="AM149" s="2" t="inlineStr">
        <is>
          <t>Not Sent</t>
        </is>
      </c>
      <c r="AN149" s="2" t="n"/>
      <c r="AO149" s="2" t="inlineStr">
        <is>
          <t>Batch 2 | Email seen in search-result summary only; exact-match verification search could not be run (session web search budget exhausted). | Email seen in search results but not independently corroborated; verify on website before sending. | Email source: https://www.ecosparks.com.au/</t>
        </is>
      </c>
    </row>
    <row r="150">
      <c r="A150" s="2" t="inlineStr"/>
      <c r="B150" s="2" t="inlineStr">
        <is>
          <t>Eco Tech Electrical</t>
        </is>
      </c>
      <c r="C150" s="2" t="inlineStr"/>
      <c r="D150" s="2" t="inlineStr"/>
      <c r="E150" s="2" t="inlineStr">
        <is>
          <t>adambate@ecotechelectrical.com.au</t>
        </is>
      </c>
      <c r="F150" s="2" t="inlineStr">
        <is>
          <t>Australia</t>
        </is>
      </c>
      <c r="G150" s="2" t="inlineStr">
        <is>
          <t>NT</t>
        </is>
      </c>
      <c r="H150" s="2" t="inlineStr">
        <is>
          <t>Coconut Grove</t>
        </is>
      </c>
      <c r="I150" s="2" t="inlineStr">
        <is>
          <t>https://www.ecotechelectrical.com.au/</t>
        </is>
      </c>
      <c r="J150" s="2" t="inlineStr">
        <is>
          <t>Residential &amp; commercial solar installer</t>
        </is>
      </c>
      <c r="K150" s="2" t="inlineStr">
        <is>
          <t>Solar &amp; electrical installations</t>
        </is>
      </c>
      <c r="L150" s="2" t="inlineStr">
        <is>
          <t>Residential &amp; Commercial</t>
        </is>
      </c>
      <c r="M150" s="2" t="inlineStr">
        <is>
          <t>Unknown</t>
        </is>
      </c>
      <c r="N150" s="2" t="inlineStr">
        <is>
          <t>Darwin and the NT</t>
        </is>
      </c>
      <c r="O150" s="2" t="inlineStr">
        <is>
          <t>1 (31 DeLatour St, Coconut Grove)</t>
        </is>
      </c>
      <c r="P150" s="2" t="inlineStr">
        <is>
          <t>Unknown</t>
        </is>
      </c>
      <c r="Q150" s="2" t="inlineStr">
        <is>
          <t>Unknown</t>
        </is>
      </c>
      <c r="R150" s="2" t="inlineStr">
        <is>
          <t>Unknown</t>
        </is>
      </c>
      <c r="S150" s="2" t="inlineStr">
        <is>
          <t>Unknown</t>
        </is>
      </c>
      <c r="T150" s="2" t="inlineStr">
        <is>
          <t>Unknown</t>
        </is>
      </c>
      <c r="U150" s="2" t="inlineStr">
        <is>
          <t>Phone + email</t>
        </is>
      </c>
      <c r="V150" s="2" t="inlineStr">
        <is>
          <t>Website; phone; email</t>
        </is>
      </c>
      <c r="W150" s="2" t="inlineStr">
        <is>
          <t>None found</t>
        </is>
      </c>
      <c r="X150" s="2" t="inlineStr">
        <is>
          <t>None found</t>
        </is>
      </c>
      <c r="Y150" s="2" t="inlineStr">
        <is>
          <t>None found</t>
        </is>
      </c>
      <c r="Z150" s="2" t="inlineStr">
        <is>
          <t>Website contact/quote enquiry followed by phone/email follow-up</t>
        </is>
      </c>
      <c r="AA150" s="2" t="inlineStr">
        <is>
          <t>Quote request automation</t>
        </is>
      </c>
      <c r="AB150" s="2" t="inlineStr">
        <is>
          <t>Low</t>
        </is>
      </c>
      <c r="AC150" s="2" t="inlineStr">
        <is>
          <t>Your website presents Eco Tech Electrical as a residential &amp; commercial solar installer serving Darwin and the NT.</t>
        </is>
      </c>
      <c r="AD150" s="2" t="inlineStr">
        <is>
          <t>Supports the quote request automation idea: Website contact/quote enquiry followed by phone/email follow-up</t>
        </is>
      </c>
      <c r="AE150" s="2" t="inlineStr">
        <is>
          <t>I noticed your website presents Eco Tech Electrical as a residential &amp; commercial solar installer serving Darwin and the NT.</t>
        </is>
      </c>
      <c r="AF150" s="2" t="inlineStr">
        <is>
          <t>A solar quote workflow idea</t>
        </is>
      </c>
      <c r="AG150" s="2" t="inlineStr">
        <is>
          <t>Hi Eco Tech Electrical team,
I noticed your website presents Eco Tech Electrical as a residential &amp; commercial solar installer serving Darwin and the NT.
I work with businesses on AI and workflow automation. For a solar company like Eco Tech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50" s="2" t="inlineStr">
        <is>
          <t>https://www.ecotechelectrical.com.au/contact.html</t>
        </is>
      </c>
      <c r="AI150" s="2" t="inlineStr">
        <is>
          <t>Contact page 'SOLAR AND ELECTRICAL INSTALLATIONS IN DARWIN AND THE NT'; lists two named emails and phones.</t>
        </is>
      </c>
      <c r="AJ150" s="2" t="inlineStr">
        <is>
          <t>Company website (contact page)</t>
        </is>
      </c>
      <c r="AK150" s="2" t="inlineStr">
        <is>
          <t>Medium</t>
        </is>
      </c>
      <c r="AL150" s="2" t="inlineStr">
        <is>
          <t>Review</t>
        </is>
      </c>
      <c r="AM150" s="2" t="inlineStr">
        <is>
          <t>Not Sent</t>
        </is>
      </c>
      <c r="AN150" s="2" t="n"/>
      <c r="AO150" s="2" t="inlineStr">
        <is>
          <t>Batch 2 | Email seen in search-result summary only; exact-match verification search could not be run (session web search budget exhausted). Named email (Adam Bate) listed but role not stated; second address davidrojas@ also listed. | Email seen in search results but not independently corroborated; verify on website before sending.</t>
        </is>
      </c>
    </row>
    <row r="151">
      <c r="A151" s="2" t="inlineStr"/>
      <c r="B151" s="2" t="inlineStr">
        <is>
          <t>Central Coast Energy</t>
        </is>
      </c>
      <c r="C151" s="2" t="inlineStr"/>
      <c r="D151" s="2" t="inlineStr"/>
      <c r="E151" s="2" t="inlineStr"/>
      <c r="F151" s="2" t="inlineStr">
        <is>
          <t>Australia</t>
        </is>
      </c>
      <c r="G151" s="2" t="inlineStr">
        <is>
          <t>NSW</t>
        </is>
      </c>
      <c r="H151" s="2" t="inlineStr">
        <is>
          <t>Central Coast</t>
        </is>
      </c>
      <c r="I151" s="2" t="inlineStr">
        <is>
          <t>https://www.centralcoastenergy.com.au/</t>
        </is>
      </c>
      <c r="J151" s="2" t="inlineStr">
        <is>
          <t>Residential solar installer</t>
        </is>
      </c>
      <c r="K151" s="2" t="inlineStr">
        <is>
          <t>Solar panels</t>
        </is>
      </c>
      <c r="L151" s="2" t="inlineStr">
        <is>
          <t>Residential</t>
        </is>
      </c>
      <c r="M151" s="2" t="inlineStr">
        <is>
          <t>Unknown</t>
        </is>
      </c>
      <c r="N151" s="2" t="inlineStr">
        <is>
          <t>Central Coast, Newcastle, Lake Macquarie, Hunter Valley</t>
        </is>
      </c>
      <c r="O151" s="2" t="inlineStr">
        <is>
          <t>Unknown</t>
        </is>
      </c>
      <c r="P151" s="2" t="inlineStr">
        <is>
          <t>Unknown</t>
        </is>
      </c>
      <c r="Q151" s="2" t="inlineStr">
        <is>
          <t>Unknown</t>
        </is>
      </c>
      <c r="R151" s="2" t="inlineStr">
        <is>
          <t>Unknown</t>
        </is>
      </c>
      <c r="S151" s="2" t="inlineStr">
        <is>
          <t>Unknown</t>
        </is>
      </c>
      <c r="T151" s="2" t="inlineStr">
        <is>
          <t>Unknown</t>
        </is>
      </c>
      <c r="U151" s="2" t="inlineStr">
        <is>
          <t>Unknown</t>
        </is>
      </c>
      <c r="V151" s="2" t="inlineStr">
        <is>
          <t>Website; phone</t>
        </is>
      </c>
      <c r="W151" s="2" t="inlineStr">
        <is>
          <t>None found</t>
        </is>
      </c>
      <c r="X151" s="2" t="inlineStr">
        <is>
          <t>None found</t>
        </is>
      </c>
      <c r="Y151" s="2" t="inlineStr">
        <is>
          <t>None found</t>
        </is>
      </c>
      <c r="Z151" s="2" t="inlineStr">
        <is>
          <t>Website contact/quote enquiry followed by phone/email follow-up</t>
        </is>
      </c>
      <c r="AA151" s="2" t="inlineStr">
        <is>
          <t>Quote request automation</t>
        </is>
      </c>
      <c r="AB151" s="2" t="inlineStr">
        <is>
          <t>Low</t>
        </is>
      </c>
      <c r="AC151" s="2" t="inlineStr">
        <is>
          <t>Your site bills you as the No.1 solar installer on the Central Coast.</t>
        </is>
      </c>
      <c r="AD151" s="2" t="inlineStr">
        <is>
          <t>Supports the quote request automation idea: Website contact/quote enquiry followed by phone/email follow-up</t>
        </is>
      </c>
      <c r="AE151" s="2" t="inlineStr">
        <is>
          <t>I came across Central Coast Energy and noticed your site bills you as the No.1 solar installer on the Central Coast.</t>
        </is>
      </c>
      <c r="AF151" s="2" t="inlineStr">
        <is>
          <t>Quote requests at Central Coast Energy</t>
        </is>
      </c>
      <c r="AG151" s="2" t="inlineStr">
        <is>
          <t>Hi Central Coast Energy team,
I came across Central Coast Energy and noticed your site bills you as the No.1 solar installer on the Central Coast.
I work with businesses on AI and workflow automation. For a solar company like Central Coast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51" s="2" t="inlineStr">
        <is>
          <t>https://www.centralcoastenergy.com.au/</t>
        </is>
      </c>
      <c r="AI151" s="2" t="inlineStr">
        <is>
          <t>Title 'No.1 Solar Installer on the Coast - Solar Panels Central Coast'.</t>
        </is>
      </c>
      <c r="AJ151" s="2" t="inlineStr">
        <is>
          <t>Company website (homepage)</t>
        </is>
      </c>
      <c r="AK151" s="2" t="inlineStr">
        <is>
          <t>Medium</t>
        </is>
      </c>
      <c r="AL151" s="2" t="inlineStr">
        <is>
          <t>Reject</t>
        </is>
      </c>
      <c r="AM151" s="2" t="inlineStr">
        <is>
          <t>Not Sent</t>
        </is>
      </c>
      <c r="AN151" s="2" t="n"/>
      <c r="AO151" s="2" t="inlineStr">
        <is>
          <t>Batch 2 | No published email found in search results. | No publicly verified business email found.</t>
        </is>
      </c>
    </row>
    <row r="152">
      <c r="A152" s="2" t="inlineStr"/>
      <c r="B152" s="2" t="inlineStr">
        <is>
          <t>HV Solar</t>
        </is>
      </c>
      <c r="C152" s="2" t="inlineStr"/>
      <c r="D152" s="2" t="inlineStr"/>
      <c r="E152" s="2" t="inlineStr"/>
      <c r="F152" s="2" t="inlineStr">
        <is>
          <t>Australia</t>
        </is>
      </c>
      <c r="G152" s="2" t="inlineStr">
        <is>
          <t>NSW</t>
        </is>
      </c>
      <c r="H152" s="2" t="inlineStr">
        <is>
          <t>Hunter Valley</t>
        </is>
      </c>
      <c r="I152" s="2" t="inlineStr">
        <is>
          <t>https://www.hvsolar.com.au/</t>
        </is>
      </c>
      <c r="J152" s="2" t="inlineStr">
        <is>
          <t>Residential solar installer</t>
        </is>
      </c>
      <c r="K152" s="2" t="inlineStr">
        <is>
          <t>Solar panels</t>
        </is>
      </c>
      <c r="L152" s="2" t="inlineStr">
        <is>
          <t>Residential</t>
        </is>
      </c>
      <c r="M152" s="2" t="inlineStr">
        <is>
          <t>Unknown</t>
        </is>
      </c>
      <c r="N152" s="2" t="inlineStr">
        <is>
          <t>Hunter Valley &amp; Newcastle</t>
        </is>
      </c>
      <c r="O152" s="2" t="inlineStr">
        <is>
          <t>Unknown</t>
        </is>
      </c>
      <c r="P152" s="2" t="inlineStr">
        <is>
          <t>Unknown</t>
        </is>
      </c>
      <c r="Q152" s="2" t="inlineStr">
        <is>
          <t>Unknown</t>
        </is>
      </c>
      <c r="R152" s="2" t="inlineStr">
        <is>
          <t>Unknown</t>
        </is>
      </c>
      <c r="S152" s="2" t="inlineStr">
        <is>
          <t>Unknown</t>
        </is>
      </c>
      <c r="T152" s="2" t="inlineStr">
        <is>
          <t>Unknown</t>
        </is>
      </c>
      <c r="U152" s="2" t="inlineStr">
        <is>
          <t>Unknown</t>
        </is>
      </c>
      <c r="V152" s="2" t="inlineStr">
        <is>
          <t>Website; phone</t>
        </is>
      </c>
      <c r="W152" s="2" t="inlineStr">
        <is>
          <t>None found</t>
        </is>
      </c>
      <c r="X152" s="2" t="inlineStr">
        <is>
          <t>None found</t>
        </is>
      </c>
      <c r="Y152" s="2" t="inlineStr">
        <is>
          <t>None found</t>
        </is>
      </c>
      <c r="Z152" s="2" t="inlineStr">
        <is>
          <t>Website contact/quote enquiry followed by phone/email follow-up</t>
        </is>
      </c>
      <c r="AA152" s="2" t="inlineStr">
        <is>
          <t>Quote request automation</t>
        </is>
      </c>
      <c r="AB152" s="2" t="inlineStr">
        <is>
          <t>Low</t>
        </is>
      </c>
      <c r="AC152" s="2" t="inlineStr">
        <is>
          <t>Your website presents HV Solar as a residential solar installer serving Hunter Valley &amp; Newcastle.</t>
        </is>
      </c>
      <c r="AD152" s="2" t="inlineStr">
        <is>
          <t>Supports the quote request automation idea: Website contact/quote enquiry followed by phone/email follow-up</t>
        </is>
      </c>
      <c r="AE152" s="2" t="inlineStr">
        <is>
          <t>I noticed your website presents HV Solar as a residential solar installer serving Hunter Valley &amp; Newcastle.</t>
        </is>
      </c>
      <c r="AF152" s="2" t="inlineStr">
        <is>
          <t>A solar quote workflow idea</t>
        </is>
      </c>
      <c r="AG152" s="2" t="inlineStr">
        <is>
          <t>Hi HV Solar team,
I noticed your website presents HV Solar as a residential solar installer serving Hunter Valley &amp; Newcastle.
I work with businesses on AI and workflow automation. For a solar company like HV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52" s="2" t="inlineStr">
        <is>
          <t>https://www.hvsolar.com.au/</t>
        </is>
      </c>
      <c r="AI152" s="2" t="inlineStr">
        <is>
          <t>Title 'Solar Panel Installers Hunter Valley &amp; Newcastle | HV Solar'.</t>
        </is>
      </c>
      <c r="AJ152" s="2" t="inlineStr">
        <is>
          <t>Company website (homepage)</t>
        </is>
      </c>
      <c r="AK152" s="2" t="inlineStr">
        <is>
          <t>Medium</t>
        </is>
      </c>
      <c r="AL152" s="2" t="inlineStr">
        <is>
          <t>Reject</t>
        </is>
      </c>
      <c r="AM152" s="2" t="inlineStr">
        <is>
          <t>Not Sent</t>
        </is>
      </c>
      <c r="AN152" s="2" t="n"/>
      <c r="AO152" s="2" t="inlineStr">
        <is>
          <t>Batch 2 | No published email found in search results. | No publicly verified business email found.</t>
        </is>
      </c>
    </row>
    <row r="153">
      <c r="A153" s="2" t="inlineStr"/>
      <c r="B153" s="2" t="inlineStr">
        <is>
          <t>MPV Solar</t>
        </is>
      </c>
      <c r="C153" s="2" t="inlineStr"/>
      <c r="D153" s="2" t="inlineStr"/>
      <c r="E153" s="2" t="inlineStr"/>
      <c r="F153" s="2" t="inlineStr">
        <is>
          <t>Australia</t>
        </is>
      </c>
      <c r="G153" s="2" t="inlineStr">
        <is>
          <t>NSW</t>
        </is>
      </c>
      <c r="H153" s="2" t="inlineStr">
        <is>
          <t>Sydney</t>
        </is>
      </c>
      <c r="I153" s="2" t="inlineStr">
        <is>
          <t>https://www.mpvsolar.com.au/</t>
        </is>
      </c>
      <c r="J153" s="2" t="inlineStr">
        <is>
          <t>Solar &amp; battery installer</t>
        </is>
      </c>
      <c r="K153" s="2" t="inlineStr">
        <is>
          <t>Solar panels, solar batteries</t>
        </is>
      </c>
      <c r="L153" s="2" t="inlineStr">
        <is>
          <t>Residential</t>
        </is>
      </c>
      <c r="M153" s="2" t="inlineStr">
        <is>
          <t>Unknown</t>
        </is>
      </c>
      <c r="N153" s="2" t="inlineStr">
        <is>
          <t>Sydney</t>
        </is>
      </c>
      <c r="O153" s="2" t="inlineStr">
        <is>
          <t>Unknown</t>
        </is>
      </c>
      <c r="P153" s="2" t="inlineStr">
        <is>
          <t>Unknown</t>
        </is>
      </c>
      <c r="Q153" s="2" t="inlineStr">
        <is>
          <t>Unknown</t>
        </is>
      </c>
      <c r="R153" s="2" t="inlineStr">
        <is>
          <t>Unknown</t>
        </is>
      </c>
      <c r="S153" s="2" t="inlineStr">
        <is>
          <t>Unknown</t>
        </is>
      </c>
      <c r="T153" s="2" t="inlineStr">
        <is>
          <t>Unknown</t>
        </is>
      </c>
      <c r="U153" s="2" t="inlineStr">
        <is>
          <t>Unknown</t>
        </is>
      </c>
      <c r="V153" s="2" t="inlineStr">
        <is>
          <t>Website; phone</t>
        </is>
      </c>
      <c r="W153" s="2" t="inlineStr">
        <is>
          <t>None found</t>
        </is>
      </c>
      <c r="X153" s="2" t="inlineStr">
        <is>
          <t>None found</t>
        </is>
      </c>
      <c r="Y153" s="2" t="inlineStr">
        <is>
          <t>None found</t>
        </is>
      </c>
      <c r="Z153" s="2" t="inlineStr">
        <is>
          <t>Website contact/quote enquiry followed by phone/email follow-up</t>
        </is>
      </c>
      <c r="AA153" s="2" t="inlineStr">
        <is>
          <t>Quote request automation</t>
        </is>
      </c>
      <c r="AB153" s="2" t="inlineStr">
        <is>
          <t>Low</t>
        </is>
      </c>
      <c r="AC153" s="2" t="inlineStr">
        <is>
          <t>Your website presents MPV Solar as a solar &amp; battery installer serving Sydney.</t>
        </is>
      </c>
      <c r="AD153" s="2" t="inlineStr">
        <is>
          <t>Supports the quote request automation idea: Website contact/quote enquiry followed by phone/email follow-up</t>
        </is>
      </c>
      <c r="AE153" s="2" t="inlineStr">
        <is>
          <t>I noticed your website presents MPV Solar as a solar &amp; battery installer serving Sydney.</t>
        </is>
      </c>
      <c r="AF153" s="2" t="inlineStr">
        <is>
          <t>Quote requests at MPV Solar</t>
        </is>
      </c>
      <c r="AG153" s="2" t="inlineStr">
        <is>
          <t>Hi MPV Solar team,
I noticed your website presents MPV Solar as a solar &amp; battery installer serving Sydney.
I work with businesses on AI and workflow automation. For a solar company like MPV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53" s="2" t="inlineStr">
        <is>
          <t>https://www.mpvsolar.com.au/solar-panel-solar-battery-installation-sydney/</t>
        </is>
      </c>
      <c r="AI153" s="2" t="inlineStr">
        <is>
          <t>Page 'Solar Panel &amp; Solar Battery Installation Sydney | MPV Solar'.</t>
        </is>
      </c>
      <c r="AJ153" s="2" t="inlineStr">
        <is>
          <t>Company website (service page)</t>
        </is>
      </c>
      <c r="AK153" s="2" t="inlineStr">
        <is>
          <t>Medium</t>
        </is>
      </c>
      <c r="AL153" s="2" t="inlineStr">
        <is>
          <t>Reject</t>
        </is>
      </c>
      <c r="AM153" s="2" t="inlineStr">
        <is>
          <t>Not Sent</t>
        </is>
      </c>
      <c r="AN153" s="2" t="n"/>
      <c r="AO153" s="2" t="inlineStr">
        <is>
          <t>Batch 2 | No published email found in search results. | No publicly verified business email found.</t>
        </is>
      </c>
    </row>
    <row r="154">
      <c r="A154" s="2" t="inlineStr"/>
      <c r="B154" s="2" t="inlineStr">
        <is>
          <t>Solarpath NSW</t>
        </is>
      </c>
      <c r="C154" s="2" t="inlineStr"/>
      <c r="D154" s="2" t="inlineStr"/>
      <c r="E154" s="2" t="inlineStr"/>
      <c r="F154" s="2" t="inlineStr">
        <is>
          <t>Australia</t>
        </is>
      </c>
      <c r="G154" s="2" t="inlineStr">
        <is>
          <t>NSW</t>
        </is>
      </c>
      <c r="H154" s="2" t="inlineStr">
        <is>
          <t>Sydney</t>
        </is>
      </c>
      <c r="I154" s="2" t="inlineStr">
        <is>
          <t>https://solarpathnsw.com.au/</t>
        </is>
      </c>
      <c r="J154" s="2" t="inlineStr">
        <is>
          <t>Solar &amp; battery installer</t>
        </is>
      </c>
      <c r="K154" s="2" t="inlineStr">
        <is>
          <t>Solar batteries, solar PV</t>
        </is>
      </c>
      <c r="L154" s="2" t="inlineStr">
        <is>
          <t>Residential</t>
        </is>
      </c>
      <c r="M154" s="2" t="inlineStr">
        <is>
          <t>Unknown</t>
        </is>
      </c>
      <c r="N154" s="2" t="inlineStr">
        <is>
          <t>Sydney / NSW</t>
        </is>
      </c>
      <c r="O154" s="2" t="inlineStr">
        <is>
          <t>Unknown</t>
        </is>
      </c>
      <c r="P154" s="2" t="inlineStr">
        <is>
          <t>Unknown</t>
        </is>
      </c>
      <c r="Q154" s="2" t="inlineStr">
        <is>
          <t>Unknown</t>
        </is>
      </c>
      <c r="R154" s="2" t="inlineStr">
        <is>
          <t>Unknown</t>
        </is>
      </c>
      <c r="S154" s="2" t="inlineStr">
        <is>
          <t>Unknown</t>
        </is>
      </c>
      <c r="T154" s="2" t="inlineStr">
        <is>
          <t>Unknown</t>
        </is>
      </c>
      <c r="U154" s="2" t="inlineStr">
        <is>
          <t>Unknown</t>
        </is>
      </c>
      <c r="V154" s="2" t="inlineStr">
        <is>
          <t>Website; phone</t>
        </is>
      </c>
      <c r="W154" s="2" t="inlineStr">
        <is>
          <t>None found</t>
        </is>
      </c>
      <c r="X154" s="2" t="inlineStr">
        <is>
          <t>None found</t>
        </is>
      </c>
      <c r="Y154" s="2" t="inlineStr">
        <is>
          <t>None found</t>
        </is>
      </c>
      <c r="Z154" s="2" t="inlineStr">
        <is>
          <t>Website contact/quote enquiry followed by phone/email follow-up</t>
        </is>
      </c>
      <c r="AA154" s="2" t="inlineStr">
        <is>
          <t>Quote request automation</t>
        </is>
      </c>
      <c r="AB154" s="2" t="inlineStr">
        <is>
          <t>Low</t>
        </is>
      </c>
      <c r="AC154" s="2" t="inlineStr">
        <is>
          <t>Your website presents Solarpath NSW as a solar &amp; battery installer serving Sydney / NSW.</t>
        </is>
      </c>
      <c r="AD154" s="2" t="inlineStr">
        <is>
          <t>Supports the quote request automation idea: Website contact/quote enquiry followed by phone/email follow-up</t>
        </is>
      </c>
      <c r="AE154" s="2" t="inlineStr">
        <is>
          <t>I came across Solarpath NSW and noticed your website presents Solarpath NSW as a solar &amp; battery installer serving Sydney / NSW.</t>
        </is>
      </c>
      <c r="AF154" s="2" t="inlineStr">
        <is>
          <t>A solar quote workflow idea</t>
        </is>
      </c>
      <c r="AG154" s="2" t="inlineStr">
        <is>
          <t>Hi Solarpath NSW team,
I came across Solarpath NSW and noticed your website presents Solarpath NSW as a solar &amp; battery installer serving Sydney / NSW.
I work with businesses on AI and workflow automation. For a solar company like Solarpath NSW,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54" s="2" t="inlineStr">
        <is>
          <t>https://solarpathnsw.com.au/solar-batteries-sydney-nsw/</t>
        </is>
      </c>
      <c r="AI154" s="2" t="inlineStr">
        <is>
          <t>Page 'Solar Battery Installation Sydney'; phone 1300 474 451.</t>
        </is>
      </c>
      <c r="AJ154" s="2" t="inlineStr">
        <is>
          <t>Company website (service page)</t>
        </is>
      </c>
      <c r="AK154" s="2" t="inlineStr">
        <is>
          <t>Medium</t>
        </is>
      </c>
      <c r="AL154" s="2" t="inlineStr">
        <is>
          <t>Reject</t>
        </is>
      </c>
      <c r="AM154" s="2" t="inlineStr">
        <is>
          <t>Not Sent</t>
        </is>
      </c>
      <c r="AN154" s="2" t="n"/>
      <c r="AO154" s="2" t="inlineStr">
        <is>
          <t>Batch 2 | No published email found in search results. | No publicly verified business email found.</t>
        </is>
      </c>
    </row>
    <row r="155">
      <c r="A155" s="2" t="inlineStr"/>
      <c r="B155" s="2" t="inlineStr">
        <is>
          <t>NHC Solar</t>
        </is>
      </c>
      <c r="C155" s="2" t="inlineStr"/>
      <c r="D155" s="2" t="inlineStr"/>
      <c r="E155" s="2" t="inlineStr"/>
      <c r="F155" s="2" t="inlineStr">
        <is>
          <t>Australia</t>
        </is>
      </c>
      <c r="G155" s="2" t="inlineStr">
        <is>
          <t>VIC</t>
        </is>
      </c>
      <c r="H155" s="2" t="inlineStr">
        <is>
          <t>Bendigo</t>
        </is>
      </c>
      <c r="I155" s="2" t="inlineStr">
        <is>
          <t>https://nhcsolar.com.au/</t>
        </is>
      </c>
      <c r="J155" s="2" t="inlineStr">
        <is>
          <t>Residential &amp; commercial solar installer</t>
        </is>
      </c>
      <c r="K155" s="2" t="inlineStr">
        <is>
          <t>Solar panel systems</t>
        </is>
      </c>
      <c r="L155" s="2" t="inlineStr">
        <is>
          <t>Residential &amp; Commercial</t>
        </is>
      </c>
      <c r="M155" s="2" t="inlineStr">
        <is>
          <t>Unknown</t>
        </is>
      </c>
      <c r="N155" s="2" t="inlineStr">
        <is>
          <t>Bendigo, Ballarat, Geelong</t>
        </is>
      </c>
      <c r="O155" s="2" t="inlineStr">
        <is>
          <t>3 (Bendigo; Ballarat; Geelong)</t>
        </is>
      </c>
      <c r="P155" s="2" t="inlineStr">
        <is>
          <t>Unknown</t>
        </is>
      </c>
      <c r="Q155" s="2" t="inlineStr">
        <is>
          <t>Unknown</t>
        </is>
      </c>
      <c r="R155" s="2" t="inlineStr">
        <is>
          <t>Unknown</t>
        </is>
      </c>
      <c r="S155" s="2" t="inlineStr">
        <is>
          <t>Unknown</t>
        </is>
      </c>
      <c r="T155" s="2" t="inlineStr">
        <is>
          <t>Unknown</t>
        </is>
      </c>
      <c r="U155" s="2" t="inlineStr">
        <is>
          <t>Unknown</t>
        </is>
      </c>
      <c r="V155" s="2" t="inlineStr">
        <is>
          <t>Website; phone</t>
        </is>
      </c>
      <c r="W155" s="2" t="inlineStr">
        <is>
          <t>None found</t>
        </is>
      </c>
      <c r="X155" s="2" t="inlineStr">
        <is>
          <t>Three regional offices</t>
        </is>
      </c>
      <c r="Y155" s="2" t="inlineStr">
        <is>
          <t>None found</t>
        </is>
      </c>
      <c r="Z155" s="2" t="inlineStr">
        <is>
          <t>Website contact/quote enquiry followed by phone/email follow-up</t>
        </is>
      </c>
      <c r="AA155" s="2" t="inlineStr">
        <is>
          <t>Lead routing</t>
        </is>
      </c>
      <c r="AB155" s="2" t="inlineStr">
        <is>
          <t>High</t>
        </is>
      </c>
      <c r="AC155" s="2" t="inlineStr">
        <is>
          <t>Your contact page lists separate numbers for Bendigo, Ballarat and Geelong.</t>
        </is>
      </c>
      <c r="AD155" s="2" t="inlineStr">
        <is>
          <t>Supports the lead routing idea: Website contact/quote enquiry followed by phone/email follow-up</t>
        </is>
      </c>
      <c r="AE155" s="2" t="inlineStr">
        <is>
          <t>I noticed your contact page lists separate numbers for Bendigo, Ballarat and Geelong.</t>
        </is>
      </c>
      <c r="AF155" s="2" t="inlineStr">
        <is>
          <t>A lead routing idea for NHC Solar</t>
        </is>
      </c>
      <c r="AG155" s="2" t="inlineStr">
        <is>
          <t>Hi NHC Solar team,
I noticed your contact page lists separate numbers for Bendigo, Ballarat and Geelong.
I work with businesses on AI and workflow automation. For a solar company like NHC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55" s="2" t="inlineStr">
        <is>
          <t>https://nhcsolar.com.au/contact-us/</t>
        </is>
      </c>
      <c r="AI155" s="2" t="inlineStr">
        <is>
          <t>Contact page 'NHC Solar Panel Systems | Residential &amp; Commercial'; phones for Bendigo, Ballarat and Geelong.</t>
        </is>
      </c>
      <c r="AJ155" s="2" t="inlineStr">
        <is>
          <t>Company website (contact page)</t>
        </is>
      </c>
      <c r="AK155" s="2" t="inlineStr">
        <is>
          <t>Medium</t>
        </is>
      </c>
      <c r="AL155" s="2" t="inlineStr">
        <is>
          <t>Reject</t>
        </is>
      </c>
      <c r="AM155" s="2" t="inlineStr">
        <is>
          <t>Not Sent</t>
        </is>
      </c>
      <c r="AN155" s="2" t="n"/>
      <c r="AO155" s="2" t="inlineStr">
        <is>
          <t>Batch 2 | No published email found in search results. | No publicly verified business email found.</t>
        </is>
      </c>
    </row>
    <row r="156">
      <c r="A156" s="2" t="inlineStr"/>
      <c r="B156" s="2" t="inlineStr">
        <is>
          <t>Jet Solar</t>
        </is>
      </c>
      <c r="C156" s="2" t="inlineStr"/>
      <c r="D156" s="2" t="inlineStr"/>
      <c r="E156" s="2" t="inlineStr"/>
      <c r="F156" s="2" t="inlineStr">
        <is>
          <t>Australia</t>
        </is>
      </c>
      <c r="G156" s="2" t="inlineStr">
        <is>
          <t>VIC</t>
        </is>
      </c>
      <c r="H156" s="2" t="inlineStr">
        <is>
          <t>Melbourne</t>
        </is>
      </c>
      <c r="I156" s="2" t="inlineStr">
        <is>
          <t>https://www.jetsolar.com.au/</t>
        </is>
      </c>
      <c r="J156" s="2" t="inlineStr">
        <is>
          <t>Residential solar installer</t>
        </is>
      </c>
      <c r="K156" s="2" t="inlineStr">
        <is>
          <t>Solar PV, batteries</t>
        </is>
      </c>
      <c r="L156" s="2" t="inlineStr">
        <is>
          <t>Residential</t>
        </is>
      </c>
      <c r="M156" s="2" t="inlineStr">
        <is>
          <t>Unknown</t>
        </is>
      </c>
      <c r="N156" s="2" t="inlineStr">
        <is>
          <t>Victoria</t>
        </is>
      </c>
      <c r="O156" s="2" t="inlineStr">
        <is>
          <t>Unknown</t>
        </is>
      </c>
      <c r="P156" s="2" t="inlineStr">
        <is>
          <t>Yes</t>
        </is>
      </c>
      <c r="Q156" s="2" t="inlineStr">
        <is>
          <t>Unknown</t>
        </is>
      </c>
      <c r="R156" s="2" t="inlineStr">
        <is>
          <t>Unknown</t>
        </is>
      </c>
      <c r="S156" s="2" t="inlineStr">
        <is>
          <t>Unknown</t>
        </is>
      </c>
      <c r="T156" s="2" t="inlineStr">
        <is>
          <t>Unknown</t>
        </is>
      </c>
      <c r="U156" s="2" t="inlineStr">
        <is>
          <t>Unknown</t>
        </is>
      </c>
      <c r="V156" s="2" t="inlineStr">
        <is>
          <t>Website; phone</t>
        </is>
      </c>
      <c r="W156" s="2" t="inlineStr">
        <is>
          <t>None found</t>
        </is>
      </c>
      <c r="X156" s="2" t="inlineStr">
        <is>
          <t>650+ Victorian customers claimed</t>
        </is>
      </c>
      <c r="Y156" s="2" t="inlineStr">
        <is>
          <t>None found</t>
        </is>
      </c>
      <c r="Z156" s="2" t="inlineStr">
        <is>
          <t>Website contact/quote enquiry followed by phone/email follow-up</t>
        </is>
      </c>
      <c r="AA156" s="2" t="inlineStr">
        <is>
          <t>Review request automation</t>
        </is>
      </c>
      <c r="AB156" s="2" t="inlineStr">
        <is>
          <t>Medium</t>
        </is>
      </c>
      <c r="AC156" s="2" t="inlineStr">
        <is>
          <t>Your homepage highlights a 5/5 rating from 650+ Victorian customers.</t>
        </is>
      </c>
      <c r="AD156" s="2" t="inlineStr">
        <is>
          <t>Supports the review request automation idea: Website contact/quote enquiry followed by phone/email follow-up</t>
        </is>
      </c>
      <c r="AE156" s="2" t="inlineStr">
        <is>
          <t>I was looking at your website and saw that your homepage highlights a 5/5 rating from 650+ Victorian customers.</t>
        </is>
      </c>
      <c r="AF156" s="2" t="inlineStr">
        <is>
          <t>Review requests at Jet Solar</t>
        </is>
      </c>
      <c r="AG156" s="2" t="inlineStr">
        <is>
          <t>Hi Jet Solar team,
I was looking at your website and saw that your homepage highlights a 5/5 rating from 650+ Victorian customers.
I work with businesses on AI and workflow automation. For a solar company like Jet Solar, after each install, customers could get a timed review request by email or SMS, with a reminder if they don't respond.
It builds steady reviews without anyone needing to remember to ask.
Would it be useful if I showed you how this could work with your current setup?
Best,
[Sender Name]
AI Automation Specialist</t>
        </is>
      </c>
      <c r="AH156" s="2" t="inlineStr">
        <is>
          <t>https://www.jetsolar.com.au/</t>
        </is>
      </c>
      <c r="AI156" s="2" t="inlineStr">
        <is>
          <t>Title 'Jet Solar | 5/5 Rating from 650+ happy Victorian customers'; phone 1300 166 107; quote via website.</t>
        </is>
      </c>
      <c r="AJ156" s="2" t="inlineStr">
        <is>
          <t>Company website (homepage)</t>
        </is>
      </c>
      <c r="AK156" s="2" t="inlineStr">
        <is>
          <t>Medium</t>
        </is>
      </c>
      <c r="AL156" s="2" t="inlineStr">
        <is>
          <t>Reject</t>
        </is>
      </c>
      <c r="AM156" s="2" t="inlineStr">
        <is>
          <t>Not Sent</t>
        </is>
      </c>
      <c r="AN156" s="2" t="n"/>
      <c r="AO156" s="2" t="inlineStr">
        <is>
          <t>Batch 2 | No published email found in search results. | No publicly verified business email found.</t>
        </is>
      </c>
    </row>
    <row r="157">
      <c r="A157" s="2" t="inlineStr"/>
      <c r="B157" s="2" t="inlineStr">
        <is>
          <t>Electrical Masters</t>
        </is>
      </c>
      <c r="C157" s="2" t="inlineStr"/>
      <c r="D157" s="2" t="inlineStr"/>
      <c r="E157" s="2" t="inlineStr"/>
      <c r="F157" s="2" t="inlineStr">
        <is>
          <t>Australia</t>
        </is>
      </c>
      <c r="G157" s="2" t="inlineStr">
        <is>
          <t>VIC</t>
        </is>
      </c>
      <c r="H157" s="2" t="inlineStr">
        <is>
          <t>Clyde North</t>
        </is>
      </c>
      <c r="I157" s="2" t="inlineStr">
        <is>
          <t>https://electricalmasters.com.au/</t>
        </is>
      </c>
      <c r="J157" s="2" t="inlineStr">
        <is>
          <t>Solar &amp; battery installer</t>
        </is>
      </c>
      <c r="K157" s="2" t="inlineStr">
        <is>
          <t>Solar, battery installation, electrical</t>
        </is>
      </c>
      <c r="L157" s="2" t="inlineStr">
        <is>
          <t>Residential</t>
        </is>
      </c>
      <c r="M157" s="2" t="inlineStr">
        <is>
          <t>Unknown</t>
        </is>
      </c>
      <c r="N157" s="2" t="inlineStr">
        <is>
          <t>Melbourne</t>
        </is>
      </c>
      <c r="O157" s="2" t="inlineStr">
        <is>
          <t>1 (Clyde North)</t>
        </is>
      </c>
      <c r="P157" s="2" t="inlineStr">
        <is>
          <t>Yes</t>
        </is>
      </c>
      <c r="Q157" s="2" t="inlineStr">
        <is>
          <t>Yes</t>
        </is>
      </c>
      <c r="R157" s="2" t="inlineStr">
        <is>
          <t>Unknown</t>
        </is>
      </c>
      <c r="S157" s="2" t="inlineStr">
        <is>
          <t>Unknown</t>
        </is>
      </c>
      <c r="T157" s="2" t="inlineStr">
        <is>
          <t>Unknown</t>
        </is>
      </c>
      <c r="U157" s="2" t="inlineStr">
        <is>
          <t>Unknown</t>
        </is>
      </c>
      <c r="V157" s="2" t="inlineStr">
        <is>
          <t>Website; phone</t>
        </is>
      </c>
      <c r="W157" s="2" t="inlineStr">
        <is>
          <t>None found</t>
        </is>
      </c>
      <c r="X157" s="2" t="inlineStr">
        <is>
          <t>None found</t>
        </is>
      </c>
      <c r="Y157" s="2" t="inlineStr">
        <is>
          <t>None found</t>
        </is>
      </c>
      <c r="Z157" s="2" t="inlineStr">
        <is>
          <t>Website contact/quote enquiry followed by phone/email follow-up</t>
        </is>
      </c>
      <c r="AA157" s="2" t="inlineStr">
        <is>
          <t>Site survey scheduling</t>
        </is>
      </c>
      <c r="AB157" s="2" t="inlineStr">
        <is>
          <t>Medium</t>
        </is>
      </c>
      <c r="AC157" s="2" t="inlineStr">
        <is>
          <t>Your quote flow lets customers choose a free site visit or a phone call.</t>
        </is>
      </c>
      <c r="AD157" s="2" t="inlineStr">
        <is>
          <t>Supports the site survey scheduling idea: Website contact/quote enquiry followed by phone/email follow-up</t>
        </is>
      </c>
      <c r="AE157" s="2" t="inlineStr">
        <is>
          <t>I came across Electrical Masters and noticed your quote flow lets customers choose a free site visit or a phone call.</t>
        </is>
      </c>
      <c r="AF157" s="2" t="inlineStr">
        <is>
          <t>Survey bookings at Electrical Masters</t>
        </is>
      </c>
      <c r="AG157" s="2" t="inlineStr">
        <is>
          <t>Hi Electrical Masters team,
I came across Electrical Masters and noticed your quote flow lets customers choose a free site visit or a phone call.
I work with businesses on AI and workflow automation. For a solar company like Electrical Masters, once a lead is qualified, a workflow could offer survey slots, confirm the address and roof details, send reminders and notify the surveyor.
It keeps surveys moving without someone chasing each one by phone.
Would it be useful if I showed you how this could work with your current setup?
Best,
[Sender Name]
AI Automation Specialist</t>
        </is>
      </c>
      <c r="AH157" s="2" t="inlineStr">
        <is>
          <t>https://electricalmasters.com.au/</t>
        </is>
      </c>
      <c r="AI157" s="2" t="inlineStr">
        <is>
          <t>Title 'Solar and Battery Installation Melbourne'; 'Get a Quote' with free site visit or phone call option.</t>
        </is>
      </c>
      <c r="AJ157" s="2" t="inlineStr">
        <is>
          <t>Company website (homepage)</t>
        </is>
      </c>
      <c r="AK157" s="2" t="inlineStr">
        <is>
          <t>Medium</t>
        </is>
      </c>
      <c r="AL157" s="2" t="inlineStr">
        <is>
          <t>Reject</t>
        </is>
      </c>
      <c r="AM157" s="2" t="inlineStr">
        <is>
          <t>Not Sent</t>
        </is>
      </c>
      <c r="AN157" s="2" t="n"/>
      <c r="AO157" s="2" t="inlineStr">
        <is>
          <t>Batch 2 | No published email found in search results. | No publicly verified business email found.</t>
        </is>
      </c>
    </row>
    <row r="158">
      <c r="A158" s="2" t="inlineStr"/>
      <c r="B158" s="2" t="inlineStr">
        <is>
          <t>Chief Electricians</t>
        </is>
      </c>
      <c r="C158" s="2" t="inlineStr"/>
      <c r="D158" s="2" t="inlineStr"/>
      <c r="E158" s="2" t="inlineStr"/>
      <c r="F158" s="2" t="inlineStr">
        <is>
          <t>Australia</t>
        </is>
      </c>
      <c r="G158" s="2" t="inlineStr">
        <is>
          <t>VIC</t>
        </is>
      </c>
      <c r="H158" s="2" t="inlineStr">
        <is>
          <t>Melbourne</t>
        </is>
      </c>
      <c r="I158" s="2" t="inlineStr">
        <is>
          <t>https://chiefelectricians.com.au/</t>
        </is>
      </c>
      <c r="J158" s="2" t="inlineStr">
        <is>
          <t>Solar &amp; battery installer</t>
        </is>
      </c>
      <c r="K158" s="2" t="inlineStr">
        <is>
          <t>Solar, batteries, EV chargers</t>
        </is>
      </c>
      <c r="L158" s="2" t="inlineStr">
        <is>
          <t>Residential</t>
        </is>
      </c>
      <c r="M158" s="2" t="inlineStr">
        <is>
          <t>Unknown</t>
        </is>
      </c>
      <c r="N158" s="2" t="inlineStr">
        <is>
          <t>Bayside &amp; South East Melbourne</t>
        </is>
      </c>
      <c r="O158" s="2" t="inlineStr">
        <is>
          <t>Unknown</t>
        </is>
      </c>
      <c r="P158" s="2" t="inlineStr">
        <is>
          <t>Yes</t>
        </is>
      </c>
      <c r="Q158" s="2" t="inlineStr">
        <is>
          <t>Unknown</t>
        </is>
      </c>
      <c r="R158" s="2" t="inlineStr">
        <is>
          <t>Unknown</t>
        </is>
      </c>
      <c r="S158" s="2" t="inlineStr">
        <is>
          <t>Unknown</t>
        </is>
      </c>
      <c r="T158" s="2" t="inlineStr">
        <is>
          <t>Unknown</t>
        </is>
      </c>
      <c r="U158" s="2" t="inlineStr">
        <is>
          <t>Unknown</t>
        </is>
      </c>
      <c r="V158" s="2" t="inlineStr">
        <is>
          <t>Website; phone</t>
        </is>
      </c>
      <c r="W158" s="2" t="inlineStr">
        <is>
          <t>None found</t>
        </is>
      </c>
      <c r="X158" s="2" t="inlineStr">
        <is>
          <t>None found</t>
        </is>
      </c>
      <c r="Y158" s="2" t="inlineStr">
        <is>
          <t>None found</t>
        </is>
      </c>
      <c r="Z158" s="2" t="inlineStr">
        <is>
          <t>Website contact/quote enquiry followed by phone/email follow-up</t>
        </is>
      </c>
      <c r="AA158" s="2" t="inlineStr">
        <is>
          <t>Quote request automation</t>
        </is>
      </c>
      <c r="AB158" s="2" t="inlineStr">
        <is>
          <t>Medium</t>
        </is>
      </c>
      <c r="AC158" s="2" t="inlineStr">
        <is>
          <t>Your site focuses on solar, batteries and EV chargers across Bayside Melbourne.</t>
        </is>
      </c>
      <c r="AD158" s="2" t="inlineStr">
        <is>
          <t>Supports the quote request automation idea: Website contact/quote enquiry followed by phone/email follow-up</t>
        </is>
      </c>
      <c r="AE158" s="2" t="inlineStr">
        <is>
          <t>I noticed your site focuses on solar, batteries and EV chargers across Bayside Melbourne.</t>
        </is>
      </c>
      <c r="AF158" s="2" t="inlineStr">
        <is>
          <t>A solar quote workflow idea</t>
        </is>
      </c>
      <c r="AG158" s="2" t="inlineStr">
        <is>
          <t>Hi Chief Electricians team,
I noticed your site focuses on solar, batteries and EV chargers across Bayside Melbourne.
I work with businesses on AI and workflow automation. For a solar company like Chief Electricians,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58" s="2" t="inlineStr">
        <is>
          <t>https://chiefelectricians.com.au/</t>
        </is>
      </c>
      <c r="AI158" s="2" t="inlineStr">
        <is>
          <t>Title 'Chief Electricians: Solar &amp; Battery Installers Bayside Melbourne'; quote option.</t>
        </is>
      </c>
      <c r="AJ158" s="2" t="inlineStr">
        <is>
          <t>Company website (homepage)</t>
        </is>
      </c>
      <c r="AK158" s="2" t="inlineStr">
        <is>
          <t>Medium</t>
        </is>
      </c>
      <c r="AL158" s="2" t="inlineStr">
        <is>
          <t>Reject</t>
        </is>
      </c>
      <c r="AM158" s="2" t="inlineStr">
        <is>
          <t>Not Sent</t>
        </is>
      </c>
      <c r="AN158" s="2" t="n"/>
      <c r="AO158" s="2" t="inlineStr">
        <is>
          <t>Batch 2 | No published email found in search results. | No publicly verified business email found.</t>
        </is>
      </c>
    </row>
    <row r="159">
      <c r="A159" s="2" t="inlineStr"/>
      <c r="B159" s="2" t="inlineStr">
        <is>
          <t>Helcro Solar</t>
        </is>
      </c>
      <c r="C159" s="2" t="inlineStr"/>
      <c r="D159" s="2" t="inlineStr"/>
      <c r="E159" s="2" t="inlineStr"/>
      <c r="F159" s="2" t="inlineStr">
        <is>
          <t>Australia</t>
        </is>
      </c>
      <c r="G159" s="2" t="inlineStr">
        <is>
          <t>VIC</t>
        </is>
      </c>
      <c r="H159" s="2" t="inlineStr">
        <is>
          <t>Melbourne</t>
        </is>
      </c>
      <c r="I159" s="2" t="inlineStr">
        <is>
          <t>https://helcrosolar.com.au/</t>
        </is>
      </c>
      <c r="J159" s="2" t="inlineStr">
        <is>
          <t>Residential solar installer</t>
        </is>
      </c>
      <c r="K159" s="2" t="inlineStr">
        <is>
          <t>Solar PV</t>
        </is>
      </c>
      <c r="L159" s="2" t="inlineStr">
        <is>
          <t>Residential</t>
        </is>
      </c>
      <c r="M159" s="2" t="inlineStr">
        <is>
          <t>Unknown</t>
        </is>
      </c>
      <c r="N159" s="2" t="inlineStr">
        <is>
          <t>Melbourne</t>
        </is>
      </c>
      <c r="O159" s="2" t="inlineStr">
        <is>
          <t>Unknown</t>
        </is>
      </c>
      <c r="P159" s="2" t="inlineStr">
        <is>
          <t>Yes</t>
        </is>
      </c>
      <c r="Q159" s="2" t="inlineStr">
        <is>
          <t>Unknown</t>
        </is>
      </c>
      <c r="R159" s="2" t="inlineStr">
        <is>
          <t>Unknown</t>
        </is>
      </c>
      <c r="S159" s="2" t="inlineStr">
        <is>
          <t>Unknown</t>
        </is>
      </c>
      <c r="T159" s="2" t="inlineStr">
        <is>
          <t>Unknown</t>
        </is>
      </c>
      <c r="U159" s="2" t="inlineStr">
        <is>
          <t>Unknown</t>
        </is>
      </c>
      <c r="V159" s="2" t="inlineStr">
        <is>
          <t>Website; phone</t>
        </is>
      </c>
      <c r="W159" s="2" t="inlineStr">
        <is>
          <t>None found</t>
        </is>
      </c>
      <c r="X159" s="2" t="inlineStr">
        <is>
          <t>None found</t>
        </is>
      </c>
      <c r="Y159" s="2" t="inlineStr">
        <is>
          <t>None found</t>
        </is>
      </c>
      <c r="Z159" s="2" t="inlineStr">
        <is>
          <t>Website contact/quote enquiry followed by phone/email follow-up</t>
        </is>
      </c>
      <c r="AA159" s="2" t="inlineStr">
        <is>
          <t>Quote request automation</t>
        </is>
      </c>
      <c r="AB159" s="2" t="inlineStr">
        <is>
          <t>Medium</t>
        </is>
      </c>
      <c r="AC159" s="2" t="inlineStr">
        <is>
          <t>Your website presents Helcro Solar as a residential solar installer serving Melbourne.</t>
        </is>
      </c>
      <c r="AD159" s="2" t="inlineStr">
        <is>
          <t>Supports the quote request automation idea: Website contact/quote enquiry followed by phone/email follow-up</t>
        </is>
      </c>
      <c r="AE159" s="2" t="inlineStr">
        <is>
          <t>I noticed your website presents Helcro Solar as a residential solar installer serving Melbourne.</t>
        </is>
      </c>
      <c r="AF159" s="2" t="inlineStr">
        <is>
          <t>Quote requests at Helcro Solar</t>
        </is>
      </c>
      <c r="AG159" s="2" t="inlineStr">
        <is>
          <t>Hi Helcro Solar team,
I noticed your website presents Helcro Solar as a residential solar installer serving Melbourne.
I work with businesses on AI and workflow automation. For a solar company like Helcro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59" s="2" t="inlineStr">
        <is>
          <t>https://helcrosolar.com.au/</t>
        </is>
      </c>
      <c r="AI159" s="2" t="inlineStr">
        <is>
          <t>Title 'Solar Panel Installation Melbourne | Helcro Solar'; summary states CEC-approved systems and 18 years experience.</t>
        </is>
      </c>
      <c r="AJ159" s="2" t="inlineStr">
        <is>
          <t>Company website (homepage)</t>
        </is>
      </c>
      <c r="AK159" s="2" t="inlineStr">
        <is>
          <t>Medium</t>
        </is>
      </c>
      <c r="AL159" s="2" t="inlineStr">
        <is>
          <t>Reject</t>
        </is>
      </c>
      <c r="AM159" s="2" t="inlineStr">
        <is>
          <t>Not Sent</t>
        </is>
      </c>
      <c r="AN159" s="2" t="n"/>
      <c r="AO159" s="2" t="inlineStr">
        <is>
          <t>Batch 2 | No published email found in search results. | No publicly verified business email found.</t>
        </is>
      </c>
    </row>
    <row r="160">
      <c r="A160" s="2" t="inlineStr"/>
      <c r="B160" s="2" t="inlineStr">
        <is>
          <t>Melbourne Energy Group</t>
        </is>
      </c>
      <c r="C160" s="2" t="inlineStr"/>
      <c r="D160" s="2" t="inlineStr"/>
      <c r="E160" s="2" t="inlineStr"/>
      <c r="F160" s="2" t="inlineStr">
        <is>
          <t>Australia</t>
        </is>
      </c>
      <c r="G160" s="2" t="inlineStr">
        <is>
          <t>VIC</t>
        </is>
      </c>
      <c r="H160" s="2" t="inlineStr">
        <is>
          <t>Melbourne</t>
        </is>
      </c>
      <c r="I160" s="2" t="inlineStr">
        <is>
          <t>https://melbourneenergygroup.com.au/</t>
        </is>
      </c>
      <c r="J160" s="2" t="inlineStr">
        <is>
          <t>Commercial solar EPC</t>
        </is>
      </c>
      <c r="K160" s="2" t="inlineStr">
        <is>
          <t>Commercial solar 100kW+</t>
        </is>
      </c>
      <c r="L160" s="2" t="inlineStr">
        <is>
          <t>Commercial</t>
        </is>
      </c>
      <c r="M160" s="2" t="inlineStr">
        <is>
          <t>Unknown</t>
        </is>
      </c>
      <c r="N160" s="2" t="inlineStr">
        <is>
          <t>Melbourne</t>
        </is>
      </c>
      <c r="O160" s="2" t="inlineStr">
        <is>
          <t>Unknown</t>
        </is>
      </c>
      <c r="P160" s="2" t="inlineStr">
        <is>
          <t>Unknown</t>
        </is>
      </c>
      <c r="Q160" s="2" t="inlineStr">
        <is>
          <t>Unknown</t>
        </is>
      </c>
      <c r="R160" s="2" t="inlineStr">
        <is>
          <t>Unknown</t>
        </is>
      </c>
      <c r="S160" s="2" t="inlineStr">
        <is>
          <t>Unknown</t>
        </is>
      </c>
      <c r="T160" s="2" t="inlineStr">
        <is>
          <t>Unknown</t>
        </is>
      </c>
      <c r="U160" s="2" t="inlineStr">
        <is>
          <t>Unknown</t>
        </is>
      </c>
      <c r="V160" s="2" t="inlineStr">
        <is>
          <t>Website; phone</t>
        </is>
      </c>
      <c r="W160" s="2" t="inlineStr">
        <is>
          <t>None found</t>
        </is>
      </c>
      <c r="X160" s="2" t="inlineStr">
        <is>
          <t>None found</t>
        </is>
      </c>
      <c r="Y160" s="2" t="inlineStr">
        <is>
          <t>None found</t>
        </is>
      </c>
      <c r="Z160" s="2" t="inlineStr">
        <is>
          <t>Website contact/quote enquiry followed by phone/email follow-up</t>
        </is>
      </c>
      <c r="AA160" s="2" t="inlineStr">
        <is>
          <t>Quote request automation</t>
        </is>
      </c>
      <c r="AB160" s="2" t="inlineStr">
        <is>
          <t>Medium</t>
        </is>
      </c>
      <c r="AC160" s="2" t="inlineStr">
        <is>
          <t>Your website presents Melbourne Energy Group as a commercial solar epc serving Melbourne.</t>
        </is>
      </c>
      <c r="AD160" s="2" t="inlineStr">
        <is>
          <t>Supports the quote request automation idea: Website contact/quote enquiry followed by phone/email follow-up</t>
        </is>
      </c>
      <c r="AE160" s="2" t="inlineStr">
        <is>
          <t>I came across Melbourne Energy Group and noticed your website presents Melbourne Energy Group as a commercial solar epc serving Melbourne.</t>
        </is>
      </c>
      <c r="AF160" s="2" t="inlineStr">
        <is>
          <t>A solar quote workflow idea</t>
        </is>
      </c>
      <c r="AG160" s="2" t="inlineStr">
        <is>
          <t>Hi Melbourne Energy Group team,
I came across Melbourne Energy Group and noticed your website presents Melbourne Energy Group as a commercial solar epc serving Melbourne.
I work with businesses on AI and workflow automation. For a solar company like Melbourne Energy Group,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0" s="2" t="inlineStr">
        <is>
          <t>https://melbourneenergygroup.com.au/commercial/</t>
        </is>
      </c>
      <c r="AI160" s="2" t="inlineStr">
        <is>
          <t>Page 'Commercial Solar Panels Melbourne | 100kW +'; delivers through EPC framework.</t>
        </is>
      </c>
      <c r="AJ160" s="2" t="inlineStr">
        <is>
          <t>Company website (service page)</t>
        </is>
      </c>
      <c r="AK160" s="2" t="inlineStr">
        <is>
          <t>Medium</t>
        </is>
      </c>
      <c r="AL160" s="2" t="inlineStr">
        <is>
          <t>Reject</t>
        </is>
      </c>
      <c r="AM160" s="2" t="inlineStr">
        <is>
          <t>Not Sent</t>
        </is>
      </c>
      <c r="AN160" s="2" t="n"/>
      <c r="AO160" s="2" t="inlineStr">
        <is>
          <t>Batch 2 | No published email found in search results. | No publicly verified business email found.</t>
        </is>
      </c>
    </row>
    <row r="161">
      <c r="A161" s="2" t="inlineStr"/>
      <c r="B161" s="2" t="inlineStr">
        <is>
          <t>Omega Solar &amp; Batteries</t>
        </is>
      </c>
      <c r="C161" s="2" t="inlineStr"/>
      <c r="D161" s="2" t="inlineStr"/>
      <c r="E161" s="2" t="inlineStr"/>
      <c r="F161" s="2" t="inlineStr">
        <is>
          <t>Australia</t>
        </is>
      </c>
      <c r="G161" s="2" t="inlineStr">
        <is>
          <t>QLD</t>
        </is>
      </c>
      <c r="H161" s="2" t="inlineStr">
        <is>
          <t>Mudgeeraba</t>
        </is>
      </c>
      <c r="I161" s="2" t="inlineStr">
        <is>
          <t>https://omegasolarandbatteries.com.au/</t>
        </is>
      </c>
      <c r="J161" s="2" t="inlineStr">
        <is>
          <t>Solar &amp; battery installer</t>
        </is>
      </c>
      <c r="K161" s="2" t="inlineStr">
        <is>
          <t>Solar PV, batteries</t>
        </is>
      </c>
      <c r="L161" s="2" t="inlineStr">
        <is>
          <t>Residential</t>
        </is>
      </c>
      <c r="M161" s="2" t="inlineStr">
        <is>
          <t>Unknown</t>
        </is>
      </c>
      <c r="N161" s="2" t="inlineStr">
        <is>
          <t>Gold Coast</t>
        </is>
      </c>
      <c r="O161" s="2" t="inlineStr">
        <is>
          <t>1 (Mudgeeraba)</t>
        </is>
      </c>
      <c r="P161" s="2" t="inlineStr">
        <is>
          <t>Unknown</t>
        </is>
      </c>
      <c r="Q161" s="2" t="inlineStr">
        <is>
          <t>Unknown</t>
        </is>
      </c>
      <c r="R161" s="2" t="inlineStr">
        <is>
          <t>Unknown</t>
        </is>
      </c>
      <c r="S161" s="2" t="inlineStr">
        <is>
          <t>Unknown</t>
        </is>
      </c>
      <c r="T161" s="2" t="inlineStr">
        <is>
          <t>Unknown</t>
        </is>
      </c>
      <c r="U161" s="2" t="inlineStr">
        <is>
          <t>Unknown</t>
        </is>
      </c>
      <c r="V161" s="2" t="inlineStr">
        <is>
          <t>Website; phone</t>
        </is>
      </c>
      <c r="W161" s="2" t="inlineStr">
        <is>
          <t>None found</t>
        </is>
      </c>
      <c r="X161" s="2" t="inlineStr">
        <is>
          <t>None found</t>
        </is>
      </c>
      <c r="Y161" s="2" t="inlineStr">
        <is>
          <t>None found</t>
        </is>
      </c>
      <c r="Z161" s="2" t="inlineStr">
        <is>
          <t>Website contact/quote enquiry followed by phone/email follow-up</t>
        </is>
      </c>
      <c r="AA161" s="2" t="inlineStr">
        <is>
          <t>Quote request automation</t>
        </is>
      </c>
      <c r="AB161" s="2" t="inlineStr">
        <is>
          <t>Medium</t>
        </is>
      </c>
      <c r="AC161" s="2" t="inlineStr">
        <is>
          <t>Your website presents Omega Solar &amp; Batteries as a solar &amp; battery installer serving Gold Coast.</t>
        </is>
      </c>
      <c r="AD161" s="2" t="inlineStr">
        <is>
          <t>Supports the quote request automation idea: Website contact/quote enquiry followed by phone/email follow-up</t>
        </is>
      </c>
      <c r="AE161" s="2" t="inlineStr">
        <is>
          <t>I noticed your website presents Omega Solar &amp; Batteries as a solar &amp; battery installer serving Gold Coast.</t>
        </is>
      </c>
      <c r="AF161" s="2" t="inlineStr">
        <is>
          <t>Quote requests at Omega Solar &amp; Batteries</t>
        </is>
      </c>
      <c r="AG161" s="2" t="inlineStr">
        <is>
          <t>Hi Omega Solar &amp; Batteries team,
I noticed your website presents Omega Solar &amp; Batteries as a solar &amp; battery installer serving Gold Coast.
I work with businesses on AI and workflow automation. For a solar company like Omega Solar &amp; Batteries,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1" s="2" t="inlineStr">
        <is>
          <t>https://omegasolarandbatteries.com.au/contact-us/</t>
        </is>
      </c>
      <c r="AI161" s="2" t="inlineStr">
        <is>
          <t>Contact page 'Gold Coast solar installer'; installing since 2008.</t>
        </is>
      </c>
      <c r="AJ161" s="2" t="inlineStr">
        <is>
          <t>Company website (contact page)</t>
        </is>
      </c>
      <c r="AK161" s="2" t="inlineStr">
        <is>
          <t>Medium</t>
        </is>
      </c>
      <c r="AL161" s="2" t="inlineStr">
        <is>
          <t>Reject</t>
        </is>
      </c>
      <c r="AM161" s="2" t="inlineStr">
        <is>
          <t>Not Sent</t>
        </is>
      </c>
      <c r="AN161" s="2" t="n"/>
      <c r="AO161" s="2" t="inlineStr">
        <is>
          <t>Batch 2 | No published email found in search results. | No publicly verified business email found.</t>
        </is>
      </c>
    </row>
    <row r="162">
      <c r="A162" s="2" t="inlineStr"/>
      <c r="B162" s="2" t="inlineStr">
        <is>
          <t>OzEnergi</t>
        </is>
      </c>
      <c r="C162" s="2" t="inlineStr"/>
      <c r="D162" s="2" t="inlineStr"/>
      <c r="E162" s="2" t="inlineStr"/>
      <c r="F162" s="2" t="inlineStr">
        <is>
          <t>Australia</t>
        </is>
      </c>
      <c r="G162" s="2" t="inlineStr">
        <is>
          <t>QLD</t>
        </is>
      </c>
      <c r="H162" s="2" t="inlineStr">
        <is>
          <t>Sunshine Coast</t>
        </is>
      </c>
      <c r="I162" s="2" t="inlineStr">
        <is>
          <t>https://www.ozenergi.com.au/</t>
        </is>
      </c>
      <c r="J162" s="2" t="inlineStr">
        <is>
          <t>Solar &amp; battery installer</t>
        </is>
      </c>
      <c r="K162" s="2" t="inlineStr">
        <is>
          <t>Solar batteries, solar PV</t>
        </is>
      </c>
      <c r="L162" s="2" t="inlineStr">
        <is>
          <t>Residential</t>
        </is>
      </c>
      <c r="M162" s="2" t="inlineStr">
        <is>
          <t>Unknown</t>
        </is>
      </c>
      <c r="N162" s="2" t="inlineStr">
        <is>
          <t>Sunshine Coast, Gold Coast, Fraser Coast</t>
        </is>
      </c>
      <c r="O162" s="2" t="inlineStr">
        <is>
          <t>Unknown</t>
        </is>
      </c>
      <c r="P162" s="2" t="inlineStr">
        <is>
          <t>Unknown</t>
        </is>
      </c>
      <c r="Q162" s="2" t="inlineStr">
        <is>
          <t>Unknown</t>
        </is>
      </c>
      <c r="R162" s="2" t="inlineStr">
        <is>
          <t>Unknown</t>
        </is>
      </c>
      <c r="S162" s="2" t="inlineStr">
        <is>
          <t>Unknown</t>
        </is>
      </c>
      <c r="T162" s="2" t="inlineStr">
        <is>
          <t>Unknown</t>
        </is>
      </c>
      <c r="U162" s="2" t="inlineStr">
        <is>
          <t>Unknown</t>
        </is>
      </c>
      <c r="V162" s="2" t="inlineStr">
        <is>
          <t>Website; phone</t>
        </is>
      </c>
      <c r="W162" s="2" t="inlineStr">
        <is>
          <t>None found</t>
        </is>
      </c>
      <c r="X162" s="2" t="inlineStr">
        <is>
          <t>None found</t>
        </is>
      </c>
      <c r="Y162" s="2" t="inlineStr">
        <is>
          <t>None found</t>
        </is>
      </c>
      <c r="Z162" s="2" t="inlineStr">
        <is>
          <t>Website contact/quote enquiry followed by phone/email follow-up</t>
        </is>
      </c>
      <c r="AA162" s="2" t="inlineStr">
        <is>
          <t>Quote request automation</t>
        </is>
      </c>
      <c r="AB162" s="2" t="inlineStr">
        <is>
          <t>Medium</t>
        </is>
      </c>
      <c r="AC162" s="2" t="inlineStr">
        <is>
          <t>Your website presents OzEnergi as a solar &amp; battery installer serving Sunshine Coast, Gold Coast, Fraser Coast.</t>
        </is>
      </c>
      <c r="AD162" s="2" t="inlineStr">
        <is>
          <t>Supports the quote request automation idea: Website contact/quote enquiry followed by phone/email follow-up</t>
        </is>
      </c>
      <c r="AE162" s="2" t="inlineStr">
        <is>
          <t>I noticed your website presents OzEnergi as a solar &amp; battery installer serving Sunshine Coast, Gold Coast, Fraser Coast.</t>
        </is>
      </c>
      <c r="AF162" s="2" t="inlineStr">
        <is>
          <t>A solar quote workflow idea</t>
        </is>
      </c>
      <c r="AG162" s="2" t="inlineStr">
        <is>
          <t>Hi OzEnergi team,
I noticed your website presents OzEnergi as a solar &amp; battery installer serving Sunshine Coast, Gold Coast, Fraser Coast.
I work with businesses on AI and workflow automation. For a solar company like OzEnergi,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2" s="2" t="inlineStr">
        <is>
          <t>https://www.ozenergi.com.au/solar-batteries</t>
        </is>
      </c>
      <c r="AI162" s="2" t="inlineStr">
        <is>
          <t>Page 'Solar Batteries Sunshine Coast'; phone 1300 787 074.</t>
        </is>
      </c>
      <c r="AJ162" s="2" t="inlineStr">
        <is>
          <t>Company website (service page)</t>
        </is>
      </c>
      <c r="AK162" s="2" t="inlineStr">
        <is>
          <t>Medium</t>
        </is>
      </c>
      <c r="AL162" s="2" t="inlineStr">
        <is>
          <t>Reject</t>
        </is>
      </c>
      <c r="AM162" s="2" t="inlineStr">
        <is>
          <t>Not Sent</t>
        </is>
      </c>
      <c r="AN162" s="2" t="n"/>
      <c r="AO162" s="2" t="inlineStr">
        <is>
          <t>Batch 2 | No published email found in search results. | No publicly verified business email found.</t>
        </is>
      </c>
    </row>
    <row r="163">
      <c r="A163" s="2" t="inlineStr"/>
      <c r="B163" s="2" t="inlineStr">
        <is>
          <t>Energy Solution Centre</t>
        </is>
      </c>
      <c r="C163" s="2" t="inlineStr"/>
      <c r="D163" s="2" t="inlineStr"/>
      <c r="E163" s="2" t="inlineStr"/>
      <c r="F163" s="2" t="inlineStr">
        <is>
          <t>Australia</t>
        </is>
      </c>
      <c r="G163" s="2" t="inlineStr">
        <is>
          <t>QLD</t>
        </is>
      </c>
      <c r="H163" s="2" t="inlineStr">
        <is>
          <t>Gold Coast</t>
        </is>
      </c>
      <c r="I163" s="2" t="inlineStr">
        <is>
          <t>https://energysolutioncentre.com.au/</t>
        </is>
      </c>
      <c r="J163" s="2" t="inlineStr">
        <is>
          <t>Solar &amp; battery installer</t>
        </is>
      </c>
      <c r="K163" s="2" t="inlineStr">
        <is>
          <t>Solar, batteries, off-grid, EV chargers</t>
        </is>
      </c>
      <c r="L163" s="2" t="inlineStr">
        <is>
          <t>Residential &amp; Commercial</t>
        </is>
      </c>
      <c r="M163" s="2" t="inlineStr">
        <is>
          <t>Unknown</t>
        </is>
      </c>
      <c r="N163" s="2" t="inlineStr">
        <is>
          <t>Gold Coast, Brisbane, Sunshine Coast</t>
        </is>
      </c>
      <c r="O163" s="2" t="inlineStr">
        <is>
          <t>Unknown</t>
        </is>
      </c>
      <c r="P163" s="2" t="inlineStr">
        <is>
          <t>Unknown</t>
        </is>
      </c>
      <c r="Q163" s="2" t="inlineStr">
        <is>
          <t>Unknown</t>
        </is>
      </c>
      <c r="R163" s="2" t="inlineStr">
        <is>
          <t>Unknown</t>
        </is>
      </c>
      <c r="S163" s="2" t="inlineStr">
        <is>
          <t>Unknown</t>
        </is>
      </c>
      <c r="T163" s="2" t="inlineStr">
        <is>
          <t>Unknown</t>
        </is>
      </c>
      <c r="U163" s="2" t="inlineStr">
        <is>
          <t>Unknown</t>
        </is>
      </c>
      <c r="V163" s="2" t="inlineStr">
        <is>
          <t>Website; phone</t>
        </is>
      </c>
      <c r="W163" s="2" t="inlineStr">
        <is>
          <t>None found</t>
        </is>
      </c>
      <c r="X163" s="2" t="inlineStr">
        <is>
          <t>None found</t>
        </is>
      </c>
      <c r="Y163" s="2" t="inlineStr">
        <is>
          <t>None found</t>
        </is>
      </c>
      <c r="Z163" s="2" t="inlineStr">
        <is>
          <t>Website contact/quote enquiry followed by phone/email follow-up</t>
        </is>
      </c>
      <c r="AA163" s="2" t="inlineStr">
        <is>
          <t>Quote request automation</t>
        </is>
      </c>
      <c r="AB163" s="2" t="inlineStr">
        <is>
          <t>Medium</t>
        </is>
      </c>
      <c r="AC163" s="2" t="inlineStr">
        <is>
          <t>Your website presents Energy Solution Centre as a solar &amp; battery installer serving Gold Coast, Brisbane, Sunshine Coast.</t>
        </is>
      </c>
      <c r="AD163" s="2" t="inlineStr">
        <is>
          <t>Supports the quote request automation idea: Website contact/quote enquiry followed by phone/email follow-up</t>
        </is>
      </c>
      <c r="AE163" s="2" t="inlineStr">
        <is>
          <t>I came across Energy Solution Centre and noticed your website presents Energy Solution Centre as a solar &amp; battery installer serving Gold Coast, Brisbane, Sunshine Coast.</t>
        </is>
      </c>
      <c r="AF163" s="2" t="inlineStr">
        <is>
          <t>Quote requests at Energy Solution Centre</t>
        </is>
      </c>
      <c r="AG163" s="2" t="inlineStr">
        <is>
          <t>Hi Energy Solution Centre team,
I came across Energy Solution Centre and noticed your website presents Energy Solution Centre as a solar &amp; battery installer serving Gold Coast, Brisbane, Sunshine Coast.
I work with businesses on AI and workflow automation. For a solar company like Energy Solution Centre,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3" s="2" t="inlineStr">
        <is>
          <t>https://energysolutioncentre.com.au/</t>
        </is>
      </c>
      <c r="AI163" s="2" t="inlineStr">
        <is>
          <t>Title 'Energy Solution Centre: Gold Coast Solar &amp; Battery Installers'.</t>
        </is>
      </c>
      <c r="AJ163" s="2" t="inlineStr">
        <is>
          <t>Company website (homepage)</t>
        </is>
      </c>
      <c r="AK163" s="2" t="inlineStr">
        <is>
          <t>Medium</t>
        </is>
      </c>
      <c r="AL163" s="2" t="inlineStr">
        <is>
          <t>Reject</t>
        </is>
      </c>
      <c r="AM163" s="2" t="inlineStr">
        <is>
          <t>Not Sent</t>
        </is>
      </c>
      <c r="AN163" s="2" t="n"/>
      <c r="AO163" s="2" t="inlineStr">
        <is>
          <t>Batch 2 | No published email found in search results. | No publicly verified business email found.</t>
        </is>
      </c>
    </row>
    <row r="164">
      <c r="A164" s="2" t="inlineStr"/>
      <c r="B164" s="2" t="inlineStr">
        <is>
          <t>First Choice Solar (FC Solar)</t>
        </is>
      </c>
      <c r="C164" s="2" t="inlineStr"/>
      <c r="D164" s="2" t="inlineStr"/>
      <c r="E164" s="2" t="inlineStr"/>
      <c r="F164" s="2" t="inlineStr">
        <is>
          <t>Australia</t>
        </is>
      </c>
      <c r="G164" s="2" t="inlineStr">
        <is>
          <t>QLD</t>
        </is>
      </c>
      <c r="H164" s="2" t="inlineStr">
        <is>
          <t>Sunshine Coast</t>
        </is>
      </c>
      <c r="I164" s="2" t="inlineStr">
        <is>
          <t>https://www.fcsolar.com.au/</t>
        </is>
      </c>
      <c r="J164" s="2" t="inlineStr">
        <is>
          <t>Residential &amp; commercial solar installer</t>
        </is>
      </c>
      <c r="K164" s="2" t="inlineStr">
        <is>
          <t>Solar PV</t>
        </is>
      </c>
      <c r="L164" s="2" t="inlineStr">
        <is>
          <t>Residential &amp; Commercial</t>
        </is>
      </c>
      <c r="M164" s="2" t="inlineStr">
        <is>
          <t>~15,000 systems installed (per search summary)</t>
        </is>
      </c>
      <c r="N164" s="2" t="inlineStr">
        <is>
          <t>Northern NSW, Sunshine Coast, Gold Coast</t>
        </is>
      </c>
      <c r="O164" s="2" t="inlineStr">
        <is>
          <t>Unknown</t>
        </is>
      </c>
      <c r="P164" s="2" t="inlineStr">
        <is>
          <t>Unknown</t>
        </is>
      </c>
      <c r="Q164" s="2" t="inlineStr">
        <is>
          <t>Unknown</t>
        </is>
      </c>
      <c r="R164" s="2" t="inlineStr">
        <is>
          <t>Unknown</t>
        </is>
      </c>
      <c r="S164" s="2" t="inlineStr">
        <is>
          <t>Unknown</t>
        </is>
      </c>
      <c r="T164" s="2" t="inlineStr">
        <is>
          <t>Unknown</t>
        </is>
      </c>
      <c r="U164" s="2" t="inlineStr">
        <is>
          <t>Unknown</t>
        </is>
      </c>
      <c r="V164" s="2" t="inlineStr">
        <is>
          <t>Website; phone</t>
        </is>
      </c>
      <c r="W164" s="2" t="inlineStr">
        <is>
          <t>None found</t>
        </is>
      </c>
      <c r="X164" s="2" t="inlineStr">
        <is>
          <t>Nearly 15,000 installations (per summary)</t>
        </is>
      </c>
      <c r="Y164" s="2" t="inlineStr">
        <is>
          <t>None found</t>
        </is>
      </c>
      <c r="Z164" s="2" t="inlineStr">
        <is>
          <t>Website contact/quote enquiry followed by phone/email follow-up</t>
        </is>
      </c>
      <c r="AA164" s="2" t="inlineStr">
        <is>
          <t>Quote request automation</t>
        </is>
      </c>
      <c r="AB164" s="2" t="inlineStr">
        <is>
          <t>Medium</t>
        </is>
      </c>
      <c r="AC164" s="2" t="inlineStr">
        <is>
          <t>Your website presents First Choice Solar (FC Solar) as a residential &amp; commercial solar installer serving Northern NSW, Sunshine Coast, Gold Coast.</t>
        </is>
      </c>
      <c r="AD164" s="2" t="inlineStr">
        <is>
          <t>Supports the quote request automation idea: Website contact/quote enquiry followed by phone/email follow-up</t>
        </is>
      </c>
      <c r="AE164" s="2" t="inlineStr">
        <is>
          <t>I noticed your website presents First Choice Solar (FC Solar) as a residential &amp; commercial solar installer serving Northern NSW, Sunshine Coast, Gold Coast.</t>
        </is>
      </c>
      <c r="AF164" s="2" t="inlineStr">
        <is>
          <t>A solar quote workflow idea</t>
        </is>
      </c>
      <c r="AG164" s="2" t="inlineStr">
        <is>
          <t>Hi First Choice Solar (FC Solar) team,
I noticed your website presents First Choice Solar (FC Solar) as a residential &amp; commercial solar installer serving Northern NSW, Sunshine Coast, Gold Coast.
I work with businesses on AI and workflow automation. For a solar company like First Choice Solar (FC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4" s="2" t="inlineStr">
        <is>
          <t>https://www.fcsolar.com.au/</t>
        </is>
      </c>
      <c r="AI164" s="2" t="inlineStr">
        <is>
          <t>Title 'Sunshine Coast &amp; Gold Coast Solar Solutions | First Choice'; summary: 15+ years and nearly 15,000 installations.</t>
        </is>
      </c>
      <c r="AJ164" s="2" t="inlineStr">
        <is>
          <t>Company website (homepage)</t>
        </is>
      </c>
      <c r="AK164" s="2" t="inlineStr">
        <is>
          <t>Medium</t>
        </is>
      </c>
      <c r="AL164" s="2" t="inlineStr">
        <is>
          <t>Reject</t>
        </is>
      </c>
      <c r="AM164" s="2" t="inlineStr">
        <is>
          <t>Not Sent</t>
        </is>
      </c>
      <c r="AN164" s="2" t="n"/>
      <c r="AO164" s="2" t="inlineStr">
        <is>
          <t>Batch 2 | No published email found in search results. | No publicly verified business email found.</t>
        </is>
      </c>
    </row>
    <row r="165">
      <c r="A165" s="2" t="inlineStr"/>
      <c r="B165" s="2" t="inlineStr">
        <is>
          <t>Excel Power</t>
        </is>
      </c>
      <c r="C165" s="2" t="inlineStr"/>
      <c r="D165" s="2" t="inlineStr"/>
      <c r="E165" s="2" t="inlineStr"/>
      <c r="F165" s="2" t="inlineStr">
        <is>
          <t>Australia</t>
        </is>
      </c>
      <c r="G165" s="2" t="inlineStr">
        <is>
          <t>QLD</t>
        </is>
      </c>
      <c r="H165" s="2" t="inlineStr">
        <is>
          <t>Toowoomba</t>
        </is>
      </c>
      <c r="I165" s="2" t="inlineStr">
        <is>
          <t>https://excelpower.com.au/</t>
        </is>
      </c>
      <c r="J165" s="2" t="inlineStr">
        <is>
          <t>Solar &amp; battery installer</t>
        </is>
      </c>
      <c r="K165" s="2" t="inlineStr">
        <is>
          <t>Solar, batteries, electrical</t>
        </is>
      </c>
      <c r="L165" s="2" t="inlineStr">
        <is>
          <t>Residential</t>
        </is>
      </c>
      <c r="M165" s="2" t="inlineStr">
        <is>
          <t>Unknown</t>
        </is>
      </c>
      <c r="N165" s="2" t="inlineStr">
        <is>
          <t>Toowoomba</t>
        </is>
      </c>
      <c r="O165" s="2" t="inlineStr">
        <is>
          <t>Unknown</t>
        </is>
      </c>
      <c r="P165" s="2" t="inlineStr">
        <is>
          <t>Unknown</t>
        </is>
      </c>
      <c r="Q165" s="2" t="inlineStr">
        <is>
          <t>Unknown</t>
        </is>
      </c>
      <c r="R165" s="2" t="inlineStr">
        <is>
          <t>Unknown</t>
        </is>
      </c>
      <c r="S165" s="2" t="inlineStr">
        <is>
          <t>Unknown</t>
        </is>
      </c>
      <c r="T165" s="2" t="inlineStr">
        <is>
          <t>Unknown</t>
        </is>
      </c>
      <c r="U165" s="2" t="inlineStr">
        <is>
          <t>Unknown</t>
        </is>
      </c>
      <c r="V165" s="2" t="inlineStr">
        <is>
          <t>Website; phone</t>
        </is>
      </c>
      <c r="W165" s="2" t="inlineStr">
        <is>
          <t>None found</t>
        </is>
      </c>
      <c r="X165" s="2" t="inlineStr">
        <is>
          <t>None found</t>
        </is>
      </c>
      <c r="Y165" s="2" t="inlineStr">
        <is>
          <t>None found</t>
        </is>
      </c>
      <c r="Z165" s="2" t="inlineStr">
        <is>
          <t>Website contact/quote enquiry followed by phone/email follow-up</t>
        </is>
      </c>
      <c r="AA165" s="2" t="inlineStr">
        <is>
          <t>Quote request automation</t>
        </is>
      </c>
      <c r="AB165" s="2" t="inlineStr">
        <is>
          <t>Low</t>
        </is>
      </c>
      <c r="AC165" s="2" t="inlineStr">
        <is>
          <t>Your website presents Excel Power as a solar &amp; battery installer serving Toowoomba.</t>
        </is>
      </c>
      <c r="AD165" s="2" t="inlineStr">
        <is>
          <t>Supports the quote request automation idea: Website contact/quote enquiry followed by phone/email follow-up</t>
        </is>
      </c>
      <c r="AE165" s="2" t="inlineStr">
        <is>
          <t>I noticed your website presents Excel Power as a solar &amp; battery installer serving Toowoomba.</t>
        </is>
      </c>
      <c r="AF165" s="2" t="inlineStr">
        <is>
          <t>Quote requests at Excel Power</t>
        </is>
      </c>
      <c r="AG165" s="2" t="inlineStr">
        <is>
          <t>Hi Excel Power team,
I noticed your website presents Excel Power as a solar &amp; battery installer serving Toowoomba.
I work with businesses on AI and workflow automation. For a solar company like Excel Power,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5" s="2" t="inlineStr">
        <is>
          <t>https://excelpower.com.au/</t>
        </is>
      </c>
      <c r="AI165" s="2" t="inlineStr">
        <is>
          <t>Title 'Excel Power | Solar Installer and Electrical Services | Toowoomba'.</t>
        </is>
      </c>
      <c r="AJ165" s="2" t="inlineStr">
        <is>
          <t>Company website (homepage)</t>
        </is>
      </c>
      <c r="AK165" s="2" t="inlineStr">
        <is>
          <t>Medium</t>
        </is>
      </c>
      <c r="AL165" s="2" t="inlineStr">
        <is>
          <t>Reject</t>
        </is>
      </c>
      <c r="AM165" s="2" t="inlineStr">
        <is>
          <t>Not Sent</t>
        </is>
      </c>
      <c r="AN165" s="2" t="n"/>
      <c r="AO165" s="2" t="inlineStr">
        <is>
          <t>Batch 2 | No published email found in search results. | No publicly verified business email found.</t>
        </is>
      </c>
    </row>
    <row r="166">
      <c r="A166" s="2" t="inlineStr"/>
      <c r="B166" s="2" t="inlineStr">
        <is>
          <t>Arctic Energy</t>
        </is>
      </c>
      <c r="C166" s="2" t="inlineStr"/>
      <c r="D166" s="2" t="inlineStr"/>
      <c r="E166" s="2" t="inlineStr"/>
      <c r="F166" s="2" t="inlineStr">
        <is>
          <t>Australia</t>
        </is>
      </c>
      <c r="G166" s="2" t="inlineStr">
        <is>
          <t>QLD</t>
        </is>
      </c>
      <c r="H166" s="2" t="inlineStr">
        <is>
          <t>Toowoomba</t>
        </is>
      </c>
      <c r="I166" s="2" t="inlineStr">
        <is>
          <t>https://arcticenergy.com.au/</t>
        </is>
      </c>
      <c r="J166" s="2" t="inlineStr">
        <is>
          <t>Residential solar installer</t>
        </is>
      </c>
      <c r="K166" s="2" t="inlineStr">
        <is>
          <t>Solar installation &amp; servicing</t>
        </is>
      </c>
      <c r="L166" s="2" t="inlineStr">
        <is>
          <t>Residential</t>
        </is>
      </c>
      <c r="M166" s="2" t="inlineStr">
        <is>
          <t>Unknown</t>
        </is>
      </c>
      <c r="N166" s="2" t="inlineStr">
        <is>
          <t>Toowoomba</t>
        </is>
      </c>
      <c r="O166" s="2" t="inlineStr">
        <is>
          <t>Unknown</t>
        </is>
      </c>
      <c r="P166" s="2" t="inlineStr">
        <is>
          <t>Unknown</t>
        </is>
      </c>
      <c r="Q166" s="2" t="inlineStr">
        <is>
          <t>Unknown</t>
        </is>
      </c>
      <c r="R166" s="2" t="inlineStr">
        <is>
          <t>Unknown</t>
        </is>
      </c>
      <c r="S166" s="2" t="inlineStr">
        <is>
          <t>Unknown</t>
        </is>
      </c>
      <c r="T166" s="2" t="inlineStr">
        <is>
          <t>Unknown</t>
        </is>
      </c>
      <c r="U166" s="2" t="inlineStr">
        <is>
          <t>Unknown</t>
        </is>
      </c>
      <c r="V166" s="2" t="inlineStr">
        <is>
          <t>Website; phone</t>
        </is>
      </c>
      <c r="W166" s="2" t="inlineStr">
        <is>
          <t>None found</t>
        </is>
      </c>
      <c r="X166" s="2" t="inlineStr">
        <is>
          <t>None found</t>
        </is>
      </c>
      <c r="Y166" s="2" t="inlineStr">
        <is>
          <t>None found</t>
        </is>
      </c>
      <c r="Z166" s="2" t="inlineStr">
        <is>
          <t>Website contact/quote enquiry followed by phone/email follow-up</t>
        </is>
      </c>
      <c r="AA166" s="2" t="inlineStr">
        <is>
          <t>Quote request automation</t>
        </is>
      </c>
      <c r="AB166" s="2" t="inlineStr">
        <is>
          <t>Low</t>
        </is>
      </c>
      <c r="AC166" s="2" t="inlineStr">
        <is>
          <t>Your website presents Arctic Energy as a residential solar installer serving Toowoomba.</t>
        </is>
      </c>
      <c r="AD166" s="2" t="inlineStr">
        <is>
          <t>Supports the quote request automation idea: Website contact/quote enquiry followed by phone/email follow-up</t>
        </is>
      </c>
      <c r="AE166" s="2" t="inlineStr">
        <is>
          <t>I came across Arctic Energy and noticed your website presents Arctic Energy as a residential solar installer serving Toowoomba.</t>
        </is>
      </c>
      <c r="AF166" s="2" t="inlineStr">
        <is>
          <t>A solar quote workflow idea</t>
        </is>
      </c>
      <c r="AG166" s="2" t="inlineStr">
        <is>
          <t>Hi Arctic Energy team,
I came across Arctic Energy and noticed your website presents Arctic Energy as a residential solar installer serving Toowoomba.
I work with businesses on AI and workflow automation. For a solar company like Arctic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6" s="2" t="inlineStr">
        <is>
          <t>https://arcticenergy.com.au/</t>
        </is>
      </c>
      <c r="AI166" s="2" t="inlineStr">
        <is>
          <t>Title 'Solar Power Energy Company in Toowoomba'; summary says CEC Approved Solar Retailer.</t>
        </is>
      </c>
      <c r="AJ166" s="2" t="inlineStr">
        <is>
          <t>Company website (homepage)</t>
        </is>
      </c>
      <c r="AK166" s="2" t="inlineStr">
        <is>
          <t>Medium</t>
        </is>
      </c>
      <c r="AL166" s="2" t="inlineStr">
        <is>
          <t>Reject</t>
        </is>
      </c>
      <c r="AM166" s="2" t="inlineStr">
        <is>
          <t>Not Sent</t>
        </is>
      </c>
      <c r="AN166" s="2" t="n"/>
      <c r="AO166" s="2" t="inlineStr">
        <is>
          <t>Batch 2 | No published email found in search results. | No publicly verified business email found.</t>
        </is>
      </c>
    </row>
    <row r="167">
      <c r="A167" s="2" t="inlineStr"/>
      <c r="B167" s="2" t="inlineStr">
        <is>
          <t>Electrical Sensations</t>
        </is>
      </c>
      <c r="C167" s="2" t="inlineStr"/>
      <c r="D167" s="2" t="inlineStr"/>
      <c r="E167" s="2" t="inlineStr"/>
      <c r="F167" s="2" t="inlineStr">
        <is>
          <t>Australia</t>
        </is>
      </c>
      <c r="G167" s="2" t="inlineStr">
        <is>
          <t>QLD</t>
        </is>
      </c>
      <c r="H167" s="2" t="inlineStr">
        <is>
          <t>Toowoomba</t>
        </is>
      </c>
      <c r="I167" s="2" t="inlineStr">
        <is>
          <t>https://www.electricalsensations.com.au/</t>
        </is>
      </c>
      <c r="J167" s="2" t="inlineStr">
        <is>
          <t>Solar &amp; battery installer</t>
        </is>
      </c>
      <c r="K167" s="2" t="inlineStr">
        <is>
          <t>Solar, battery storage, electrical</t>
        </is>
      </c>
      <c r="L167" s="2" t="inlineStr">
        <is>
          <t>Residential</t>
        </is>
      </c>
      <c r="M167" s="2" t="inlineStr">
        <is>
          <t>Unknown</t>
        </is>
      </c>
      <c r="N167" s="2" t="inlineStr">
        <is>
          <t>Toowoomba</t>
        </is>
      </c>
      <c r="O167" s="2" t="inlineStr">
        <is>
          <t>Unknown</t>
        </is>
      </c>
      <c r="P167" s="2" t="inlineStr">
        <is>
          <t>Unknown</t>
        </is>
      </c>
      <c r="Q167" s="2" t="inlineStr">
        <is>
          <t>Unknown</t>
        </is>
      </c>
      <c r="R167" s="2" t="inlineStr">
        <is>
          <t>Unknown</t>
        </is>
      </c>
      <c r="S167" s="2" t="inlineStr">
        <is>
          <t>Unknown</t>
        </is>
      </c>
      <c r="T167" s="2" t="inlineStr">
        <is>
          <t>Unknown</t>
        </is>
      </c>
      <c r="U167" s="2" t="inlineStr">
        <is>
          <t>Unknown</t>
        </is>
      </c>
      <c r="V167" s="2" t="inlineStr">
        <is>
          <t>Website; phone</t>
        </is>
      </c>
      <c r="W167" s="2" t="inlineStr">
        <is>
          <t>None found</t>
        </is>
      </c>
      <c r="X167" s="2" t="inlineStr">
        <is>
          <t>None found</t>
        </is>
      </c>
      <c r="Y167" s="2" t="inlineStr">
        <is>
          <t>None found</t>
        </is>
      </c>
      <c r="Z167" s="2" t="inlineStr">
        <is>
          <t>Website contact/quote enquiry followed by phone/email follow-up</t>
        </is>
      </c>
      <c r="AA167" s="2" t="inlineStr">
        <is>
          <t>Quote request automation</t>
        </is>
      </c>
      <c r="AB167" s="2" t="inlineStr">
        <is>
          <t>Low</t>
        </is>
      </c>
      <c r="AC167" s="2" t="inlineStr">
        <is>
          <t>Your website presents Electrical Sensations as a solar &amp; battery installer serving Toowoomba.</t>
        </is>
      </c>
      <c r="AD167" s="2" t="inlineStr">
        <is>
          <t>Supports the quote request automation idea: Website contact/quote enquiry followed by phone/email follow-up</t>
        </is>
      </c>
      <c r="AE167" s="2" t="inlineStr">
        <is>
          <t>I noticed your website presents Electrical Sensations as a solar &amp; battery installer serving Toowoomba.</t>
        </is>
      </c>
      <c r="AF167" s="2" t="inlineStr">
        <is>
          <t>Quote requests at Electrical Sensations</t>
        </is>
      </c>
      <c r="AG167" s="2" t="inlineStr">
        <is>
          <t>Hi Electrical Sensations team,
I noticed your website presents Electrical Sensations as a solar &amp; battery installer serving Toowoomba.
I work with businesses on AI and workflow automation. For a solar company like Electrical Sensations,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7" s="2" t="inlineStr">
        <is>
          <t>https://www.electricalsensations.com.au/</t>
        </is>
      </c>
      <c r="AI167" s="2" t="inlineStr">
        <is>
          <t>Title 'Electrical Sensations Toowoomba | Solar Power, Battery Storage &amp; Electrical'.</t>
        </is>
      </c>
      <c r="AJ167" s="2" t="inlineStr">
        <is>
          <t>Company website (homepage)</t>
        </is>
      </c>
      <c r="AK167" s="2" t="inlineStr">
        <is>
          <t>Medium</t>
        </is>
      </c>
      <c r="AL167" s="2" t="inlineStr">
        <is>
          <t>Reject</t>
        </is>
      </c>
      <c r="AM167" s="2" t="inlineStr">
        <is>
          <t>Not Sent</t>
        </is>
      </c>
      <c r="AN167" s="2" t="n"/>
      <c r="AO167" s="2" t="inlineStr">
        <is>
          <t>Batch 2 | No published email found in search results. | No publicly verified business email found.</t>
        </is>
      </c>
    </row>
    <row r="168">
      <c r="A168" s="2" t="inlineStr"/>
      <c r="B168" s="2" t="inlineStr">
        <is>
          <t>Horan &amp; Bird Solar</t>
        </is>
      </c>
      <c r="C168" s="2" t="inlineStr"/>
      <c r="D168" s="2" t="inlineStr"/>
      <c r="E168" s="2" t="inlineStr"/>
      <c r="F168" s="2" t="inlineStr">
        <is>
          <t>Australia</t>
        </is>
      </c>
      <c r="G168" s="2" t="inlineStr">
        <is>
          <t>QLD</t>
        </is>
      </c>
      <c r="H168" s="2" t="inlineStr">
        <is>
          <t>Townsville</t>
        </is>
      </c>
      <c r="I168" s="2" t="inlineStr">
        <is>
          <t>https://horanandbirdsolar.com.au/</t>
        </is>
      </c>
      <c r="J168" s="2" t="inlineStr">
        <is>
          <t>Residential solar installer</t>
        </is>
      </c>
      <c r="K168" s="2" t="inlineStr">
        <is>
          <t>Solar PV</t>
        </is>
      </c>
      <c r="L168" s="2" t="inlineStr">
        <is>
          <t>Residential</t>
        </is>
      </c>
      <c r="M168" s="2" t="inlineStr">
        <is>
          <t>Unknown</t>
        </is>
      </c>
      <c r="N168" s="2" t="inlineStr">
        <is>
          <t>Townsville</t>
        </is>
      </c>
      <c r="O168" s="2" t="inlineStr">
        <is>
          <t>Unknown</t>
        </is>
      </c>
      <c r="P168" s="2" t="inlineStr">
        <is>
          <t>Unknown</t>
        </is>
      </c>
      <c r="Q168" s="2" t="inlineStr">
        <is>
          <t>Unknown</t>
        </is>
      </c>
      <c r="R168" s="2" t="inlineStr">
        <is>
          <t>Unknown</t>
        </is>
      </c>
      <c r="S168" s="2" t="inlineStr">
        <is>
          <t>Unknown</t>
        </is>
      </c>
      <c r="T168" s="2" t="inlineStr">
        <is>
          <t>Unknown</t>
        </is>
      </c>
      <c r="U168" s="2" t="inlineStr">
        <is>
          <t>Unknown</t>
        </is>
      </c>
      <c r="V168" s="2" t="inlineStr">
        <is>
          <t>Website; phone</t>
        </is>
      </c>
      <c r="W168" s="2" t="inlineStr">
        <is>
          <t>None found</t>
        </is>
      </c>
      <c r="X168" s="2" t="inlineStr">
        <is>
          <t>None found</t>
        </is>
      </c>
      <c r="Y168" s="2" t="inlineStr">
        <is>
          <t>None found</t>
        </is>
      </c>
      <c r="Z168" s="2" t="inlineStr">
        <is>
          <t>Website contact/quote enquiry followed by phone/email follow-up</t>
        </is>
      </c>
      <c r="AA168" s="2" t="inlineStr">
        <is>
          <t>Quote request automation</t>
        </is>
      </c>
      <c r="AB168" s="2" t="inlineStr">
        <is>
          <t>Low</t>
        </is>
      </c>
      <c r="AC168" s="2" t="inlineStr">
        <is>
          <t>Your website presents Horan &amp; Bird Solar as a residential solar installer serving Townsville.</t>
        </is>
      </c>
      <c r="AD168" s="2" t="inlineStr">
        <is>
          <t>Supports the quote request automation idea: Website contact/quote enquiry followed by phone/email follow-up</t>
        </is>
      </c>
      <c r="AE168" s="2" t="inlineStr">
        <is>
          <t>I noticed your website presents Horan &amp; Bird Solar as a residential solar installer serving Townsville.</t>
        </is>
      </c>
      <c r="AF168" s="2" t="inlineStr">
        <is>
          <t>A solar quote workflow idea</t>
        </is>
      </c>
      <c r="AG168" s="2" t="inlineStr">
        <is>
          <t>Hi Horan &amp; Bird Solar team,
I noticed your website presents Horan &amp; Bird Solar as a residential solar installer serving Townsville.
I work with businesses on AI and workflow automation. For a solar company like Horan &amp; Bird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8" s="2" t="inlineStr">
        <is>
          <t>https://horanandbirdsolar.com.au/townsville/</t>
        </is>
      </c>
      <c r="AI168" s="2" t="inlineStr">
        <is>
          <t>Page 'Your Townsville Solar Energy Specialists | Horan &amp; Bird Solar'.</t>
        </is>
      </c>
      <c r="AJ168" s="2" t="inlineStr">
        <is>
          <t>Company website (location page)</t>
        </is>
      </c>
      <c r="AK168" s="2" t="inlineStr">
        <is>
          <t>Medium</t>
        </is>
      </c>
      <c r="AL168" s="2" t="inlineStr">
        <is>
          <t>Reject</t>
        </is>
      </c>
      <c r="AM168" s="2" t="inlineStr">
        <is>
          <t>Not Sent</t>
        </is>
      </c>
      <c r="AN168" s="2" t="n"/>
      <c r="AO168" s="2" t="inlineStr">
        <is>
          <t>Batch 2 | No published email found in search results. | No publicly verified business email found.</t>
        </is>
      </c>
    </row>
    <row r="169">
      <c r="A169" s="2" t="inlineStr"/>
      <c r="B169" s="2" t="inlineStr">
        <is>
          <t>Solar Dimension</t>
        </is>
      </c>
      <c r="C169" s="2" t="inlineStr"/>
      <c r="D169" s="2" t="inlineStr"/>
      <c r="E169" s="2" t="inlineStr"/>
      <c r="F169" s="2" t="inlineStr">
        <is>
          <t>Australia</t>
        </is>
      </c>
      <c r="G169" s="2" t="inlineStr">
        <is>
          <t>QLD</t>
        </is>
      </c>
      <c r="H169" s="2" t="inlineStr">
        <is>
          <t>Townsville</t>
        </is>
      </c>
      <c r="I169" s="2" t="inlineStr">
        <is>
          <t>https://solardimension.com.au/</t>
        </is>
      </c>
      <c r="J169" s="2" t="inlineStr">
        <is>
          <t>Residential solar installer</t>
        </is>
      </c>
      <c r="K169" s="2" t="inlineStr">
        <is>
          <t>Solar PV</t>
        </is>
      </c>
      <c r="L169" s="2" t="inlineStr">
        <is>
          <t>Residential</t>
        </is>
      </c>
      <c r="M169" s="2" t="inlineStr">
        <is>
          <t>Unknown</t>
        </is>
      </c>
      <c r="N169" s="2" t="inlineStr">
        <is>
          <t>North Queensland</t>
        </is>
      </c>
      <c r="O169" s="2" t="inlineStr">
        <is>
          <t>1 (Townsville)</t>
        </is>
      </c>
      <c r="P169" s="2" t="inlineStr">
        <is>
          <t>Unknown</t>
        </is>
      </c>
      <c r="Q169" s="2" t="inlineStr">
        <is>
          <t>Unknown</t>
        </is>
      </c>
      <c r="R169" s="2" t="inlineStr">
        <is>
          <t>Unknown</t>
        </is>
      </c>
      <c r="S169" s="2" t="inlineStr">
        <is>
          <t>Unknown</t>
        </is>
      </c>
      <c r="T169" s="2" t="inlineStr">
        <is>
          <t>Unknown</t>
        </is>
      </c>
      <c r="U169" s="2" t="inlineStr">
        <is>
          <t>Unknown</t>
        </is>
      </c>
      <c r="V169" s="2" t="inlineStr">
        <is>
          <t>Website; phone</t>
        </is>
      </c>
      <c r="W169" s="2" t="inlineStr">
        <is>
          <t>None found</t>
        </is>
      </c>
      <c r="X169" s="2" t="inlineStr">
        <is>
          <t>None found</t>
        </is>
      </c>
      <c r="Y169" s="2" t="inlineStr">
        <is>
          <t>None found</t>
        </is>
      </c>
      <c r="Z169" s="2" t="inlineStr">
        <is>
          <t>Website contact/quote enquiry followed by phone/email follow-up</t>
        </is>
      </c>
      <c r="AA169" s="2" t="inlineStr">
        <is>
          <t>Quote request automation</t>
        </is>
      </c>
      <c r="AB169" s="2" t="inlineStr">
        <is>
          <t>Low</t>
        </is>
      </c>
      <c r="AC169" s="2" t="inlineStr">
        <is>
          <t>Your website presents Solar Dimension as a residential solar installer serving North Queensland.</t>
        </is>
      </c>
      <c r="AD169" s="2" t="inlineStr">
        <is>
          <t>Supports the quote request automation idea: Website contact/quote enquiry followed by phone/email follow-up</t>
        </is>
      </c>
      <c r="AE169" s="2" t="inlineStr">
        <is>
          <t>I came across Solar Dimension and noticed your website presents Solar Dimension as a residential solar installer serving North Queensland.</t>
        </is>
      </c>
      <c r="AF169" s="2" t="inlineStr">
        <is>
          <t>Quote requests at Solar Dimension</t>
        </is>
      </c>
      <c r="AG169" s="2" t="inlineStr">
        <is>
          <t>Hi Solar Dimension team,
I came across Solar Dimension and noticed your website presents Solar Dimension as a residential solar installer serving North Queensland.
I work with businesses on AI and workflow automation. For a solar company like Solar Dimension,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69" s="2" t="inlineStr">
        <is>
          <t>https://solardimension.com.au/</t>
        </is>
      </c>
      <c r="AI169" s="2" t="inlineStr">
        <is>
          <t>Title states locally owned and operated in Townsville servicing North Queensland.</t>
        </is>
      </c>
      <c r="AJ169" s="2" t="inlineStr">
        <is>
          <t>Company website (homepage)</t>
        </is>
      </c>
      <c r="AK169" s="2" t="inlineStr">
        <is>
          <t>Medium</t>
        </is>
      </c>
      <c r="AL169" s="2" t="inlineStr">
        <is>
          <t>Reject</t>
        </is>
      </c>
      <c r="AM169" s="2" t="inlineStr">
        <is>
          <t>Not Sent</t>
        </is>
      </c>
      <c r="AN169" s="2" t="n"/>
      <c r="AO169" s="2" t="inlineStr">
        <is>
          <t>Batch 2 | No published email found in search results. | No publicly verified business email found.</t>
        </is>
      </c>
    </row>
    <row r="170">
      <c r="A170" s="2" t="inlineStr"/>
      <c r="B170" s="2" t="inlineStr">
        <is>
          <t>Central Solar Services</t>
        </is>
      </c>
      <c r="C170" s="2" t="inlineStr"/>
      <c r="D170" s="2" t="inlineStr"/>
      <c r="E170" s="2" t="inlineStr"/>
      <c r="F170" s="2" t="inlineStr">
        <is>
          <t>Australia</t>
        </is>
      </c>
      <c r="G170" s="2" t="inlineStr">
        <is>
          <t>QLD</t>
        </is>
      </c>
      <c r="H170" s="2" t="inlineStr">
        <is>
          <t>Townsville</t>
        </is>
      </c>
      <c r="I170" s="2" t="inlineStr">
        <is>
          <t>https://www.centralsolarservices.com.au/</t>
        </is>
      </c>
      <c r="J170" s="2" t="inlineStr">
        <is>
          <t>Residential solar installer</t>
        </is>
      </c>
      <c r="K170" s="2" t="inlineStr">
        <is>
          <t>Solar panels</t>
        </is>
      </c>
      <c r="L170" s="2" t="inlineStr">
        <is>
          <t>Residential</t>
        </is>
      </c>
      <c r="M170" s="2" t="inlineStr">
        <is>
          <t>Unknown</t>
        </is>
      </c>
      <c r="N170" s="2" t="inlineStr">
        <is>
          <t>Townsville, Cairns, Innisfail, Ingham</t>
        </is>
      </c>
      <c r="O170" s="2" t="inlineStr">
        <is>
          <t>Unknown</t>
        </is>
      </c>
      <c r="P170" s="2" t="inlineStr">
        <is>
          <t>Unknown</t>
        </is>
      </c>
      <c r="Q170" s="2" t="inlineStr">
        <is>
          <t>Unknown</t>
        </is>
      </c>
      <c r="R170" s="2" t="inlineStr">
        <is>
          <t>Unknown</t>
        </is>
      </c>
      <c r="S170" s="2" t="inlineStr">
        <is>
          <t>Yes</t>
        </is>
      </c>
      <c r="T170" s="2" t="inlineStr">
        <is>
          <t>Unknown</t>
        </is>
      </c>
      <c r="U170" s="2" t="inlineStr">
        <is>
          <t>Unknown</t>
        </is>
      </c>
      <c r="V170" s="2" t="inlineStr">
        <is>
          <t>Website; phone</t>
        </is>
      </c>
      <c r="W170" s="2" t="inlineStr">
        <is>
          <t>None found</t>
        </is>
      </c>
      <c r="X170" s="2" t="inlineStr">
        <is>
          <t>None found</t>
        </is>
      </c>
      <c r="Y170" s="2" t="inlineStr">
        <is>
          <t>None found</t>
        </is>
      </c>
      <c r="Z170" s="2" t="inlineStr">
        <is>
          <t>Website contact/quote enquiry followed by phone/email follow-up</t>
        </is>
      </c>
      <c r="AA170" s="2" t="inlineStr">
        <is>
          <t>Quote request automation</t>
        </is>
      </c>
      <c r="AB170" s="2" t="inlineStr">
        <is>
          <t>Low</t>
        </is>
      </c>
      <c r="AC170" s="2" t="inlineStr">
        <is>
          <t>Your website presents Central Solar Services as a residential solar installer serving Townsville, Cairns, Innisfail, Ingham.</t>
        </is>
      </c>
      <c r="AD170" s="2" t="inlineStr">
        <is>
          <t>Supports the quote request automation idea: Website contact/quote enquiry followed by phone/email follow-up</t>
        </is>
      </c>
      <c r="AE170" s="2" t="inlineStr">
        <is>
          <t>I noticed your website presents Central Solar Services as a residential solar installer serving Townsville, Cairns, Innisfail, Ingham.</t>
        </is>
      </c>
      <c r="AF170" s="2" t="inlineStr">
        <is>
          <t>A solar quote workflow idea</t>
        </is>
      </c>
      <c r="AG170" s="2" t="inlineStr">
        <is>
          <t>Hi Central Solar Services team,
I noticed your website presents Central Solar Services as a residential solar installer serving Townsville, Cairns, Innisfail, Ingham.
I work with businesses on AI and workflow automation. For a solar company like Central Solar Services,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70" s="2" t="inlineStr">
        <is>
          <t>https://www.centralsolarservices.com.au/</t>
        </is>
      </c>
      <c r="AI170" s="2" t="inlineStr">
        <is>
          <t>Title 'Solar Panels Townsville | Central Solar Services'; contact form on site.</t>
        </is>
      </c>
      <c r="AJ170" s="2" t="inlineStr">
        <is>
          <t>Company website (homepage)</t>
        </is>
      </c>
      <c r="AK170" s="2" t="inlineStr">
        <is>
          <t>Medium</t>
        </is>
      </c>
      <c r="AL170" s="2" t="inlineStr">
        <is>
          <t>Reject</t>
        </is>
      </c>
      <c r="AM170" s="2" t="inlineStr">
        <is>
          <t>Not Sent</t>
        </is>
      </c>
      <c r="AN170" s="2" t="n"/>
      <c r="AO170" s="2" t="inlineStr">
        <is>
          <t>Batch 2 | No published email found in search results. | No publicly verified business email found.</t>
        </is>
      </c>
    </row>
    <row r="171">
      <c r="A171" s="2" t="inlineStr"/>
      <c r="B171" s="2" t="inlineStr">
        <is>
          <t>Koala Solar</t>
        </is>
      </c>
      <c r="C171" s="2" t="inlineStr"/>
      <c r="D171" s="2" t="inlineStr"/>
      <c r="E171" s="2" t="inlineStr"/>
      <c r="F171" s="2" t="inlineStr">
        <is>
          <t>Australia</t>
        </is>
      </c>
      <c r="G171" s="2" t="inlineStr">
        <is>
          <t>WA</t>
        </is>
      </c>
      <c r="H171" s="2" t="inlineStr">
        <is>
          <t>Perth</t>
        </is>
      </c>
      <c r="I171" s="2" t="inlineStr">
        <is>
          <t>https://www.koalasolar.com.au/</t>
        </is>
      </c>
      <c r="J171" s="2" t="inlineStr">
        <is>
          <t>Residential solar installer</t>
        </is>
      </c>
      <c r="K171" s="2" t="inlineStr">
        <is>
          <t>Solar panels</t>
        </is>
      </c>
      <c r="L171" s="2" t="inlineStr">
        <is>
          <t>Residential</t>
        </is>
      </c>
      <c r="M171" s="2" t="inlineStr">
        <is>
          <t>Unknown</t>
        </is>
      </c>
      <c r="N171" s="2" t="inlineStr">
        <is>
          <t>Perth metro, Mandurah, Bunbury, Busselton, Australind, Geraldton</t>
        </is>
      </c>
      <c r="O171" s="2" t="inlineStr">
        <is>
          <t>Unknown</t>
        </is>
      </c>
      <c r="P171" s="2" t="inlineStr">
        <is>
          <t>Unknown</t>
        </is>
      </c>
      <c r="Q171" s="2" t="inlineStr">
        <is>
          <t>Unknown</t>
        </is>
      </c>
      <c r="R171" s="2" t="inlineStr">
        <is>
          <t>Unknown</t>
        </is>
      </c>
      <c r="S171" s="2" t="inlineStr">
        <is>
          <t>Unknown</t>
        </is>
      </c>
      <c r="T171" s="2" t="inlineStr">
        <is>
          <t>Unknown</t>
        </is>
      </c>
      <c r="U171" s="2" t="inlineStr">
        <is>
          <t>Unknown</t>
        </is>
      </c>
      <c r="V171" s="2" t="inlineStr">
        <is>
          <t>Website; phone</t>
        </is>
      </c>
      <c r="W171" s="2" t="inlineStr">
        <is>
          <t>None found</t>
        </is>
      </c>
      <c r="X171" s="2" t="inlineStr">
        <is>
          <t>Wide WA service area</t>
        </is>
      </c>
      <c r="Y171" s="2" t="inlineStr">
        <is>
          <t>None found</t>
        </is>
      </c>
      <c r="Z171" s="2" t="inlineStr">
        <is>
          <t>Website contact/quote enquiry followed by phone/email follow-up</t>
        </is>
      </c>
      <c r="AA171" s="2" t="inlineStr">
        <is>
          <t>Quote request automation</t>
        </is>
      </c>
      <c r="AB171" s="2" t="inlineStr">
        <is>
          <t>Medium</t>
        </is>
      </c>
      <c r="AC171" s="2" t="inlineStr">
        <is>
          <t>Your website presents Koala Solar as a residential solar installer serving Perth metro, Mandurah, Bunbury, Busselton, Australind, Geraldton.</t>
        </is>
      </c>
      <c r="AD171" s="2" t="inlineStr">
        <is>
          <t>Supports the quote request automation idea: Website contact/quote enquiry followed by phone/email follow-up</t>
        </is>
      </c>
      <c r="AE171" s="2" t="inlineStr">
        <is>
          <t>I noticed your website presents Koala Solar as a residential solar installer serving Perth metro, Mandurah, Bunbury, Busselton, Australind, Geraldton.</t>
        </is>
      </c>
      <c r="AF171" s="2" t="inlineStr">
        <is>
          <t>Quote requests at Koala Solar</t>
        </is>
      </c>
      <c r="AG171" s="2" t="inlineStr">
        <is>
          <t>Hi Koala Solar team,
I noticed your website presents Koala Solar as a residential solar installer serving Perth metro, Mandurah, Bunbury, Busselton, Australind, Geraldton.
I work with businesses on AI and workflow automation. For a solar company like Koala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71" s="2" t="inlineStr">
        <is>
          <t>https://www.koalasolar.com.au/</t>
        </is>
      </c>
      <c r="AI171" s="2" t="inlineStr">
        <is>
          <t>Title 'Perth's Trusted Solar Experts | Koala Solar'; installs across Perth metro and regional WA.</t>
        </is>
      </c>
      <c r="AJ171" s="2" t="inlineStr">
        <is>
          <t>Company website (homepage)</t>
        </is>
      </c>
      <c r="AK171" s="2" t="inlineStr">
        <is>
          <t>Medium</t>
        </is>
      </c>
      <c r="AL171" s="2" t="inlineStr">
        <is>
          <t>Reject</t>
        </is>
      </c>
      <c r="AM171" s="2" t="inlineStr">
        <is>
          <t>Not Sent</t>
        </is>
      </c>
      <c r="AN171" s="2" t="n"/>
      <c r="AO171" s="2" t="inlineStr">
        <is>
          <t>Batch 2 | No published email found in search results. | No publicly verified business email found.</t>
        </is>
      </c>
    </row>
    <row r="172">
      <c r="A172" s="2" t="inlineStr"/>
      <c r="B172" s="2" t="inlineStr">
        <is>
          <t>South West Solar Force</t>
        </is>
      </c>
      <c r="C172" s="2" t="inlineStr"/>
      <c r="D172" s="2" t="inlineStr"/>
      <c r="E172" s="2" t="inlineStr"/>
      <c r="F172" s="2" t="inlineStr">
        <is>
          <t>Australia</t>
        </is>
      </c>
      <c r="G172" s="2" t="inlineStr">
        <is>
          <t>WA</t>
        </is>
      </c>
      <c r="H172" s="2" t="inlineStr">
        <is>
          <t>Bunbury</t>
        </is>
      </c>
      <c r="I172" s="2" t="inlineStr">
        <is>
          <t>https://southwestsolarforce.com.au/</t>
        </is>
      </c>
      <c r="J172" s="2" t="inlineStr">
        <is>
          <t>Solar &amp; battery installer</t>
        </is>
      </c>
      <c r="K172" s="2" t="inlineStr">
        <is>
          <t>Solar panels, batteries</t>
        </is>
      </c>
      <c r="L172" s="2" t="inlineStr">
        <is>
          <t>Residential</t>
        </is>
      </c>
      <c r="M172" s="2" t="inlineStr">
        <is>
          <t>Unknown</t>
        </is>
      </c>
      <c r="N172" s="2" t="inlineStr">
        <is>
          <t>South West WA (Bunbury, Busselton)</t>
        </is>
      </c>
      <c r="O172" s="2" t="inlineStr">
        <is>
          <t>Unknown</t>
        </is>
      </c>
      <c r="P172" s="2" t="inlineStr">
        <is>
          <t>Unknown</t>
        </is>
      </c>
      <c r="Q172" s="2" t="inlineStr">
        <is>
          <t>Unknown</t>
        </is>
      </c>
      <c r="R172" s="2" t="inlineStr">
        <is>
          <t>Unknown</t>
        </is>
      </c>
      <c r="S172" s="2" t="inlineStr">
        <is>
          <t>Unknown</t>
        </is>
      </c>
      <c r="T172" s="2" t="inlineStr">
        <is>
          <t>Unknown</t>
        </is>
      </c>
      <c r="U172" s="2" t="inlineStr">
        <is>
          <t>Unknown</t>
        </is>
      </c>
      <c r="V172" s="2" t="inlineStr">
        <is>
          <t>Website; phone</t>
        </is>
      </c>
      <c r="W172" s="2" t="inlineStr">
        <is>
          <t>None found</t>
        </is>
      </c>
      <c r="X172" s="2" t="inlineStr">
        <is>
          <t>None found</t>
        </is>
      </c>
      <c r="Y172" s="2" t="inlineStr">
        <is>
          <t>None found</t>
        </is>
      </c>
      <c r="Z172" s="2" t="inlineStr">
        <is>
          <t>Website contact/quote enquiry followed by phone/email follow-up</t>
        </is>
      </c>
      <c r="AA172" s="2" t="inlineStr">
        <is>
          <t>Quote request automation</t>
        </is>
      </c>
      <c r="AB172" s="2" t="inlineStr">
        <is>
          <t>Low</t>
        </is>
      </c>
      <c r="AC172" s="2" t="inlineStr">
        <is>
          <t>Your website presents South West Solar Force as a solar &amp; battery installer serving South West WA (Bunbury, Busselton).</t>
        </is>
      </c>
      <c r="AD172" s="2" t="inlineStr">
        <is>
          <t>Supports the quote request automation idea: Website contact/quote enquiry followed by phone/email follow-up</t>
        </is>
      </c>
      <c r="AE172" s="2" t="inlineStr">
        <is>
          <t>I came across South West Solar Force and noticed your website presents South West Solar Force as a solar &amp; battery installer serving South West WA (Bunbury, Busselton).</t>
        </is>
      </c>
      <c r="AF172" s="2" t="inlineStr">
        <is>
          <t>A solar quote workflow idea</t>
        </is>
      </c>
      <c r="AG172" s="2" t="inlineStr">
        <is>
          <t>Hi South West Solar Force team,
I came across South West Solar Force and noticed your website presents South West Solar Force as a solar &amp; battery installer serving South West WA (Bunbury, Busselton).
I work with businesses on AI and workflow automation. For a solar company like South West Solar Force,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72" s="2" t="inlineStr">
        <is>
          <t>https://southwestsolarforce.com.au/</t>
        </is>
      </c>
      <c r="AI172" s="2" t="inlineStr">
        <is>
          <t>Title 'Solar Panels Bunbury &amp; Busselton'; locally owned, WA-operated.</t>
        </is>
      </c>
      <c r="AJ172" s="2" t="inlineStr">
        <is>
          <t>Company website (homepage)</t>
        </is>
      </c>
      <c r="AK172" s="2" t="inlineStr">
        <is>
          <t>Medium</t>
        </is>
      </c>
      <c r="AL172" s="2" t="inlineStr">
        <is>
          <t>Reject</t>
        </is>
      </c>
      <c r="AM172" s="2" t="inlineStr">
        <is>
          <t>Not Sent</t>
        </is>
      </c>
      <c r="AN172" s="2" t="n"/>
      <c r="AO172" s="2" t="inlineStr">
        <is>
          <t>Batch 2 | No published email found in search results. | No publicly verified business email found.</t>
        </is>
      </c>
    </row>
    <row r="173">
      <c r="A173" s="2" t="inlineStr"/>
      <c r="B173" s="2" t="inlineStr">
        <is>
          <t>Solartech Electrical</t>
        </is>
      </c>
      <c r="C173" s="2" t="inlineStr"/>
      <c r="D173" s="2" t="inlineStr"/>
      <c r="E173" s="2" t="inlineStr"/>
      <c r="F173" s="2" t="inlineStr">
        <is>
          <t>Australia</t>
        </is>
      </c>
      <c r="G173" s="2" t="inlineStr">
        <is>
          <t>WA</t>
        </is>
      </c>
      <c r="H173" s="2" t="inlineStr">
        <is>
          <t>Bunbury</t>
        </is>
      </c>
      <c r="I173" s="2" t="inlineStr">
        <is>
          <t>https://solartechelectrical.com.au/</t>
        </is>
      </c>
      <c r="J173" s="2" t="inlineStr">
        <is>
          <t>Residential &amp; commercial solar installer</t>
        </is>
      </c>
      <c r="K173" s="2" t="inlineStr">
        <is>
          <t>Solar installation &amp; maintenance</t>
        </is>
      </c>
      <c r="L173" s="2" t="inlineStr">
        <is>
          <t>Residential &amp; Commercial</t>
        </is>
      </c>
      <c r="M173" s="2" t="inlineStr">
        <is>
          <t>Unknown</t>
        </is>
      </c>
      <c r="N173" s="2" t="inlineStr">
        <is>
          <t>Bunbury / South West WA</t>
        </is>
      </c>
      <c r="O173" s="2" t="inlineStr">
        <is>
          <t>Unknown</t>
        </is>
      </c>
      <c r="P173" s="2" t="inlineStr">
        <is>
          <t>Unknown</t>
        </is>
      </c>
      <c r="Q173" s="2" t="inlineStr">
        <is>
          <t>Unknown</t>
        </is>
      </c>
      <c r="R173" s="2" t="inlineStr">
        <is>
          <t>Unknown</t>
        </is>
      </c>
      <c r="S173" s="2" t="inlineStr">
        <is>
          <t>Unknown</t>
        </is>
      </c>
      <c r="T173" s="2" t="inlineStr">
        <is>
          <t>Unknown</t>
        </is>
      </c>
      <c r="U173" s="2" t="inlineStr">
        <is>
          <t>Unknown</t>
        </is>
      </c>
      <c r="V173" s="2" t="inlineStr">
        <is>
          <t>Website; phone</t>
        </is>
      </c>
      <c r="W173" s="2" t="inlineStr">
        <is>
          <t>None found</t>
        </is>
      </c>
      <c r="X173" s="2" t="inlineStr">
        <is>
          <t>None found</t>
        </is>
      </c>
      <c r="Y173" s="2" t="inlineStr">
        <is>
          <t>None found</t>
        </is>
      </c>
      <c r="Z173" s="2" t="inlineStr">
        <is>
          <t>Website contact/quote enquiry followed by phone/email follow-up</t>
        </is>
      </c>
      <c r="AA173" s="2" t="inlineStr">
        <is>
          <t>Quote request automation</t>
        </is>
      </c>
      <c r="AB173" s="2" t="inlineStr">
        <is>
          <t>Low</t>
        </is>
      </c>
      <c r="AC173" s="2" t="inlineStr">
        <is>
          <t>Your website presents Solartech Electrical as a residential &amp; commercial solar installer serving Bunbury / South West WA.</t>
        </is>
      </c>
      <c r="AD173" s="2" t="inlineStr">
        <is>
          <t>Supports the quote request automation idea: Website contact/quote enquiry followed by phone/email follow-up</t>
        </is>
      </c>
      <c r="AE173" s="2" t="inlineStr">
        <is>
          <t>I noticed your website presents Solartech Electrical as a residential &amp; commercial solar installer serving Bunbury / South West WA.</t>
        </is>
      </c>
      <c r="AF173" s="2" t="inlineStr">
        <is>
          <t>Quote requests at Solartech Electrical</t>
        </is>
      </c>
      <c r="AG173" s="2" t="inlineStr">
        <is>
          <t>Hi Solartech Electrical team,
I noticed your website presents Solartech Electrical as a residential &amp; commercial solar installer serving Bunbury / South West WA.
I work with businesses on AI and workflow automation. For a solar company like Solartech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73" s="2" t="inlineStr">
        <is>
          <t>https://solartechelectrical.com.au/</t>
        </is>
      </c>
      <c r="AI173" s="2" t="inlineStr">
        <is>
          <t>Title 'Solartech Electrical: Solar Energy Panel System Installers Bunbury'.</t>
        </is>
      </c>
      <c r="AJ173" s="2" t="inlineStr">
        <is>
          <t>Company website (homepage)</t>
        </is>
      </c>
      <c r="AK173" s="2" t="inlineStr">
        <is>
          <t>Medium</t>
        </is>
      </c>
      <c r="AL173" s="2" t="inlineStr">
        <is>
          <t>Reject</t>
        </is>
      </c>
      <c r="AM173" s="2" t="inlineStr">
        <is>
          <t>Not Sent</t>
        </is>
      </c>
      <c r="AN173" s="2" t="n"/>
      <c r="AO173" s="2" t="inlineStr">
        <is>
          <t>Batch 2 | No published email found in search results. | No publicly verified business email found.</t>
        </is>
      </c>
    </row>
    <row r="174">
      <c r="A174" s="2" t="inlineStr"/>
      <c r="B174" s="2" t="inlineStr">
        <is>
          <t>Ford and Doonan Solar</t>
        </is>
      </c>
      <c r="C174" s="2" t="inlineStr"/>
      <c r="D174" s="2" t="inlineStr"/>
      <c r="E174" s="2" t="inlineStr"/>
      <c r="F174" s="2" t="inlineStr">
        <is>
          <t>Australia</t>
        </is>
      </c>
      <c r="G174" s="2" t="inlineStr">
        <is>
          <t>WA</t>
        </is>
      </c>
      <c r="H174" s="2" t="inlineStr">
        <is>
          <t>Bunbury</t>
        </is>
      </c>
      <c r="I174" s="2" t="inlineStr">
        <is>
          <t>https://fordanddoonansolar.com.au/</t>
        </is>
      </c>
      <c r="J174" s="2" t="inlineStr">
        <is>
          <t>Residential solar installer</t>
        </is>
      </c>
      <c r="K174" s="2" t="inlineStr">
        <is>
          <t>Solar systems</t>
        </is>
      </c>
      <c r="L174" s="2" t="inlineStr">
        <is>
          <t>Residential</t>
        </is>
      </c>
      <c r="M174" s="2" t="inlineStr">
        <is>
          <t>Unknown</t>
        </is>
      </c>
      <c r="N174" s="2" t="inlineStr">
        <is>
          <t>Bunbury &amp; surrounds</t>
        </is>
      </c>
      <c r="O174" s="2" t="inlineStr">
        <is>
          <t>Unknown</t>
        </is>
      </c>
      <c r="P174" s="2" t="inlineStr">
        <is>
          <t>Unknown</t>
        </is>
      </c>
      <c r="Q174" s="2" t="inlineStr">
        <is>
          <t>Unknown</t>
        </is>
      </c>
      <c r="R174" s="2" t="inlineStr">
        <is>
          <t>Unknown</t>
        </is>
      </c>
      <c r="S174" s="2" t="inlineStr">
        <is>
          <t>Unknown</t>
        </is>
      </c>
      <c r="T174" s="2" t="inlineStr">
        <is>
          <t>Unknown</t>
        </is>
      </c>
      <c r="U174" s="2" t="inlineStr">
        <is>
          <t>Unknown</t>
        </is>
      </c>
      <c r="V174" s="2" t="inlineStr">
        <is>
          <t>Website; phone</t>
        </is>
      </c>
      <c r="W174" s="2" t="inlineStr">
        <is>
          <t>None found</t>
        </is>
      </c>
      <c r="X174" s="2" t="inlineStr">
        <is>
          <t>None found</t>
        </is>
      </c>
      <c r="Y174" s="2" t="inlineStr">
        <is>
          <t>None found</t>
        </is>
      </c>
      <c r="Z174" s="2" t="inlineStr">
        <is>
          <t>Website contact/quote enquiry followed by phone/email follow-up</t>
        </is>
      </c>
      <c r="AA174" s="2" t="inlineStr">
        <is>
          <t>Quote request automation</t>
        </is>
      </c>
      <c r="AB174" s="2" t="inlineStr">
        <is>
          <t>Low</t>
        </is>
      </c>
      <c r="AC174" s="2" t="inlineStr">
        <is>
          <t>Your website presents Ford and Doonan Solar as a residential solar installer serving Bunbury &amp; surrounds.</t>
        </is>
      </c>
      <c r="AD174" s="2" t="inlineStr">
        <is>
          <t>Supports the quote request automation idea: Website contact/quote enquiry followed by phone/email follow-up</t>
        </is>
      </c>
      <c r="AE174" s="2" t="inlineStr">
        <is>
          <t>I noticed your website presents Ford and Doonan Solar as a residential solar installer serving Bunbury &amp; surrounds.</t>
        </is>
      </c>
      <c r="AF174" s="2" t="inlineStr">
        <is>
          <t>A solar quote workflow idea</t>
        </is>
      </c>
      <c r="AG174" s="2" t="inlineStr">
        <is>
          <t>Hi Ford and Doonan Solar team,
I noticed your website presents Ford and Doonan Solar as a residential solar installer serving Bunbury &amp; surrounds.
I work with businesses on AI and workflow automation. For a solar company like Ford and Doonan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74" s="2" t="inlineStr">
        <is>
          <t>https://fordanddoonansolar.com.au/solar-panels-bunbury/</t>
        </is>
      </c>
      <c r="AI174" s="2" t="inlineStr">
        <is>
          <t>Page 'Solar Panel Specialists – Bunbury – Ford and Doonan Solar'.</t>
        </is>
      </c>
      <c r="AJ174" s="2" t="inlineStr">
        <is>
          <t>Company website (location page)</t>
        </is>
      </c>
      <c r="AK174" s="2" t="inlineStr">
        <is>
          <t>Medium</t>
        </is>
      </c>
      <c r="AL174" s="2" t="inlineStr">
        <is>
          <t>Reject</t>
        </is>
      </c>
      <c r="AM174" s="2" t="inlineStr">
        <is>
          <t>Not Sent</t>
        </is>
      </c>
      <c r="AN174" s="2" t="n"/>
      <c r="AO174" s="2" t="inlineStr">
        <is>
          <t>Batch 2 | No published email found in search results. | No publicly verified business email found.</t>
        </is>
      </c>
    </row>
    <row r="175">
      <c r="A175" s="2" t="inlineStr"/>
      <c r="B175" s="2" t="inlineStr">
        <is>
          <t>Solar Battery Group</t>
        </is>
      </c>
      <c r="C175" s="2" t="inlineStr"/>
      <c r="D175" s="2" t="inlineStr"/>
      <c r="E175" s="2" t="inlineStr"/>
      <c r="F175" s="2" t="inlineStr">
        <is>
          <t>Australia</t>
        </is>
      </c>
      <c r="G175" s="2" t="inlineStr">
        <is>
          <t>SA</t>
        </is>
      </c>
      <c r="H175" s="2" t="inlineStr">
        <is>
          <t>Adelaide</t>
        </is>
      </c>
      <c r="I175" s="2" t="inlineStr">
        <is>
          <t>https://solarbatterygroup.com.au/</t>
        </is>
      </c>
      <c r="J175" s="2" t="inlineStr">
        <is>
          <t>Solar &amp; battery installer</t>
        </is>
      </c>
      <c r="K175" s="2" t="inlineStr">
        <is>
          <t>Solar batteries, solar PV</t>
        </is>
      </c>
      <c r="L175" s="2" t="inlineStr">
        <is>
          <t>Residential</t>
        </is>
      </c>
      <c r="M175" s="2" t="inlineStr">
        <is>
          <t>30,000+ installations (per search summary)</t>
        </is>
      </c>
      <c r="N175" s="2" t="inlineStr">
        <is>
          <t>Australia-wide</t>
        </is>
      </c>
      <c r="O175" s="2" t="inlineStr">
        <is>
          <t>Unknown</t>
        </is>
      </c>
      <c r="P175" s="2" t="inlineStr">
        <is>
          <t>Yes</t>
        </is>
      </c>
      <c r="Q175" s="2" t="inlineStr">
        <is>
          <t>Unknown</t>
        </is>
      </c>
      <c r="R175" s="2" t="inlineStr">
        <is>
          <t>Unknown</t>
        </is>
      </c>
      <c r="S175" s="2" t="inlineStr">
        <is>
          <t>Unknown</t>
        </is>
      </c>
      <c r="T175" s="2" t="inlineStr">
        <is>
          <t>Unknown</t>
        </is>
      </c>
      <c r="U175" s="2" t="inlineStr">
        <is>
          <t>Unknown</t>
        </is>
      </c>
      <c r="V175" s="2" t="inlineStr">
        <is>
          <t>Website; phone</t>
        </is>
      </c>
      <c r="W175" s="2" t="inlineStr">
        <is>
          <t>None found</t>
        </is>
      </c>
      <c r="X175" s="2" t="inlineStr">
        <is>
          <t>30,000+ installations claimed</t>
        </is>
      </c>
      <c r="Y175" s="2" t="inlineStr">
        <is>
          <t>None found</t>
        </is>
      </c>
      <c r="Z175" s="2" t="inlineStr">
        <is>
          <t>Website contact/quote enquiry followed by phone/email follow-up</t>
        </is>
      </c>
      <c r="AA175" s="2" t="inlineStr">
        <is>
          <t>Lead qualification chatbot</t>
        </is>
      </c>
      <c r="AB175" s="2" t="inlineStr">
        <is>
          <t>High</t>
        </is>
      </c>
      <c r="AC175" s="2" t="inlineStr">
        <is>
          <t>Your site cites 30,000+ battery installations Australia-wide.</t>
        </is>
      </c>
      <c r="AD175" s="2" t="inlineStr">
        <is>
          <t>Supports the lead qualification chatbot idea: Website contact/quote enquiry followed by phone/email follow-up</t>
        </is>
      </c>
      <c r="AE175" s="2" t="inlineStr">
        <is>
          <t>I came across Solar Battery Group and noticed your site cites 30,000+ battery installations Australia-wide.</t>
        </is>
      </c>
      <c r="AF175" s="2" t="inlineStr">
        <is>
          <t>A lead qualification idea for Solar Battery Group</t>
        </is>
      </c>
      <c r="AG175" s="2" t="inlineStr">
        <is>
          <t>Hi Solar Battery Group team,
I came across Solar Battery Group and noticed your site cites 30,000+ battery installations Australia-wide.
I work with businesses on AI and workflow automation. For a solar company like Solar Battery Group,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75" s="2" t="inlineStr">
        <is>
          <t>https://solarbatterygroup.com.au/solar-battery-adelaide</t>
        </is>
      </c>
      <c r="AI175" s="2" t="inlineStr">
        <is>
          <t>Page 'Solar Battery Adelaide'; summary: 30,000+ installations Australia-wide; free quote line 1300 223 224.</t>
        </is>
      </c>
      <c r="AJ175" s="2" t="inlineStr">
        <is>
          <t>Company website (location page)</t>
        </is>
      </c>
      <c r="AK175" s="2" t="inlineStr">
        <is>
          <t>Medium</t>
        </is>
      </c>
      <c r="AL175" s="2" t="inlineStr">
        <is>
          <t>Reject</t>
        </is>
      </c>
      <c r="AM175" s="2" t="inlineStr">
        <is>
          <t>Not Sent</t>
        </is>
      </c>
      <c r="AN175" s="2" t="n"/>
      <c r="AO175" s="2" t="inlineStr">
        <is>
          <t>Batch 2 | No published email found in search results. HQ city not confirmed; Adelaide page used. | No publicly verified business email found.</t>
        </is>
      </c>
    </row>
    <row r="176">
      <c r="A176" s="2" t="inlineStr"/>
      <c r="B176" s="2" t="inlineStr">
        <is>
          <t>Energy Buster</t>
        </is>
      </c>
      <c r="C176" s="2" t="inlineStr"/>
      <c r="D176" s="2" t="inlineStr"/>
      <c r="E176" s="2" t="inlineStr"/>
      <c r="F176" s="2" t="inlineStr">
        <is>
          <t>Australia</t>
        </is>
      </c>
      <c r="G176" s="2" t="inlineStr">
        <is>
          <t>SA</t>
        </is>
      </c>
      <c r="H176" s="2" t="inlineStr">
        <is>
          <t>Norwood</t>
        </is>
      </c>
      <c r="I176" s="2" t="inlineStr">
        <is>
          <t>https://energybuster.com.au/</t>
        </is>
      </c>
      <c r="J176" s="2" t="inlineStr">
        <is>
          <t>Solar &amp; battery installer</t>
        </is>
      </c>
      <c r="K176" s="2" t="inlineStr">
        <is>
          <t>Solar panels, batteries</t>
        </is>
      </c>
      <c r="L176" s="2" t="inlineStr">
        <is>
          <t>Residential</t>
        </is>
      </c>
      <c r="M176" s="2" t="inlineStr">
        <is>
          <t>Unknown</t>
        </is>
      </c>
      <c r="N176" s="2" t="inlineStr">
        <is>
          <t>Adelaide</t>
        </is>
      </c>
      <c r="O176" s="2" t="inlineStr">
        <is>
          <t>1 (Norwood SA)</t>
        </is>
      </c>
      <c r="P176" s="2" t="inlineStr">
        <is>
          <t>Unknown</t>
        </is>
      </c>
      <c r="Q176" s="2" t="inlineStr">
        <is>
          <t>Unknown</t>
        </is>
      </c>
      <c r="R176" s="2" t="inlineStr">
        <is>
          <t>Unknown</t>
        </is>
      </c>
      <c r="S176" s="2" t="inlineStr">
        <is>
          <t>Unknown</t>
        </is>
      </c>
      <c r="T176" s="2" t="inlineStr">
        <is>
          <t>Unknown</t>
        </is>
      </c>
      <c r="U176" s="2" t="inlineStr">
        <is>
          <t>Unknown</t>
        </is>
      </c>
      <c r="V176" s="2" t="inlineStr">
        <is>
          <t>Website; phone</t>
        </is>
      </c>
      <c r="W176" s="2" t="inlineStr">
        <is>
          <t>None found</t>
        </is>
      </c>
      <c r="X176" s="2" t="inlineStr">
        <is>
          <t>None found</t>
        </is>
      </c>
      <c r="Y176" s="2" t="inlineStr">
        <is>
          <t>None found</t>
        </is>
      </c>
      <c r="Z176" s="2" t="inlineStr">
        <is>
          <t>Website contact/quote enquiry followed by phone/email follow-up</t>
        </is>
      </c>
      <c r="AA176" s="2" t="inlineStr">
        <is>
          <t>Quote request automation</t>
        </is>
      </c>
      <c r="AB176" s="2" t="inlineStr">
        <is>
          <t>Medium</t>
        </is>
      </c>
      <c r="AC176" s="2" t="inlineStr">
        <is>
          <t>Your website presents Energy Buster as a solar &amp; battery installer serving Adelaide.</t>
        </is>
      </c>
      <c r="AD176" s="2" t="inlineStr">
        <is>
          <t>Supports the quote request automation idea: Website contact/quote enquiry followed by phone/email follow-up</t>
        </is>
      </c>
      <c r="AE176" s="2" t="inlineStr">
        <is>
          <t>I noticed your website presents Energy Buster as a solar &amp; battery installer serving Adelaide.</t>
        </is>
      </c>
      <c r="AF176" s="2" t="inlineStr">
        <is>
          <t>A solar quote workflow idea</t>
        </is>
      </c>
      <c r="AG176" s="2" t="inlineStr">
        <is>
          <t>Hi Energy Buster team,
I noticed your website presents Energy Buster as a solar &amp; battery installer serving Adelaide.
I work with businesses on AI and workflow automation. For a solar company like Energy Buster,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76" s="2" t="inlineStr">
        <is>
          <t>https://energybuster.com.au/</t>
        </is>
      </c>
      <c r="AI176" s="2" t="inlineStr">
        <is>
          <t>Title 'Leading Solar Panel &amp; Battery Installers Adelaide'; Level 1, 46 Magill Rd, Norwood; phone (08) 7120 6377.</t>
        </is>
      </c>
      <c r="AJ176" s="2" t="inlineStr">
        <is>
          <t>Company website (homepage)</t>
        </is>
      </c>
      <c r="AK176" s="2" t="inlineStr">
        <is>
          <t>Medium</t>
        </is>
      </c>
      <c r="AL176" s="2" t="inlineStr">
        <is>
          <t>Reject</t>
        </is>
      </c>
      <c r="AM176" s="2" t="inlineStr">
        <is>
          <t>Not Sent</t>
        </is>
      </c>
      <c r="AN176" s="2" t="n"/>
      <c r="AO176" s="2" t="inlineStr">
        <is>
          <t>Batch 2 | No published email found in search results. | No publicly verified business email found.</t>
        </is>
      </c>
    </row>
    <row r="177">
      <c r="A177" s="2" t="inlineStr"/>
      <c r="B177" s="2" t="inlineStr">
        <is>
          <t>First Choice Solar (Adelaide)</t>
        </is>
      </c>
      <c r="C177" s="2" t="inlineStr"/>
      <c r="D177" s="2" t="inlineStr"/>
      <c r="E177" s="2" t="inlineStr"/>
      <c r="F177" s="2" t="inlineStr">
        <is>
          <t>Australia</t>
        </is>
      </c>
      <c r="G177" s="2" t="inlineStr">
        <is>
          <t>SA</t>
        </is>
      </c>
      <c r="H177" s="2" t="inlineStr">
        <is>
          <t>Adelaide</t>
        </is>
      </c>
      <c r="I177" s="2" t="inlineStr">
        <is>
          <t>https://firstchoicesolar.com.au/</t>
        </is>
      </c>
      <c r="J177" s="2" t="inlineStr">
        <is>
          <t>Solar &amp; battery installer</t>
        </is>
      </c>
      <c r="K177" s="2" t="inlineStr">
        <is>
          <t>Solar panels, battery systems</t>
        </is>
      </c>
      <c r="L177" s="2" t="inlineStr">
        <is>
          <t>Residential</t>
        </is>
      </c>
      <c r="M177" s="2" t="inlineStr">
        <is>
          <t>Unknown</t>
        </is>
      </c>
      <c r="N177" s="2" t="inlineStr">
        <is>
          <t>Adelaide / SA</t>
        </is>
      </c>
      <c r="O177" s="2" t="inlineStr">
        <is>
          <t>Unknown</t>
        </is>
      </c>
      <c r="P177" s="2" t="inlineStr">
        <is>
          <t>Unknown</t>
        </is>
      </c>
      <c r="Q177" s="2" t="inlineStr">
        <is>
          <t>Unknown</t>
        </is>
      </c>
      <c r="R177" s="2" t="inlineStr">
        <is>
          <t>Unknown</t>
        </is>
      </c>
      <c r="S177" s="2" t="inlineStr">
        <is>
          <t>Unknown</t>
        </is>
      </c>
      <c r="T177" s="2" t="inlineStr">
        <is>
          <t>Unknown</t>
        </is>
      </c>
      <c r="U177" s="2" t="inlineStr">
        <is>
          <t>Unknown</t>
        </is>
      </c>
      <c r="V177" s="2" t="inlineStr">
        <is>
          <t>Website; phone</t>
        </is>
      </c>
      <c r="W177" s="2" t="inlineStr">
        <is>
          <t>None found</t>
        </is>
      </c>
      <c r="X177" s="2" t="inlineStr">
        <is>
          <t>None found</t>
        </is>
      </c>
      <c r="Y177" s="2" t="inlineStr">
        <is>
          <t>None found</t>
        </is>
      </c>
      <c r="Z177" s="2" t="inlineStr">
        <is>
          <t>Website contact/quote enquiry followed by phone/email follow-up</t>
        </is>
      </c>
      <c r="AA177" s="2" t="inlineStr">
        <is>
          <t>Quote request automation</t>
        </is>
      </c>
      <c r="AB177" s="2" t="inlineStr">
        <is>
          <t>Medium</t>
        </is>
      </c>
      <c r="AC177" s="2" t="inlineStr">
        <is>
          <t>Your website presents First Choice Solar (Adelaide) as a solar &amp; battery installer serving Adelaide / SA.</t>
        </is>
      </c>
      <c r="AD177" s="2" t="inlineStr">
        <is>
          <t>Supports the quote request automation idea: Website contact/quote enquiry followed by phone/email follow-up</t>
        </is>
      </c>
      <c r="AE177" s="2" t="inlineStr">
        <is>
          <t>I noticed your website presents First Choice Solar (Adelaide) as a solar &amp; battery installer serving Adelaide / SA.</t>
        </is>
      </c>
      <c r="AF177" s="2" t="inlineStr">
        <is>
          <t>Quote requests at First Choice Solar (Adelaide)</t>
        </is>
      </c>
      <c r="AG177" s="2" t="inlineStr">
        <is>
          <t>Hi First Choice Solar (Adelaide) team,
I noticed your website presents First Choice Solar (Adelaide) as a solar &amp; battery installer serving Adelaide / SA.
I work with businesses on AI and workflow automation. For a solar company like First Choice Solar (Adelaide),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77" s="2" t="inlineStr">
        <is>
          <t>https://firstchoicesolar.com.au/</t>
        </is>
      </c>
      <c r="AI177" s="2" t="inlineStr">
        <is>
          <t>Title 'Solar Panels Adelaide | Adelaide Solar Installers &amp; Battery Systems'; 20+ years in SA; phone (08) 7007 0501.</t>
        </is>
      </c>
      <c r="AJ177" s="2" t="inlineStr">
        <is>
          <t>Company website (homepage)</t>
        </is>
      </c>
      <c r="AK177" s="2" t="inlineStr">
        <is>
          <t>Medium</t>
        </is>
      </c>
      <c r="AL177" s="2" t="inlineStr">
        <is>
          <t>Reject</t>
        </is>
      </c>
      <c r="AM177" s="2" t="inlineStr">
        <is>
          <t>Not Sent</t>
        </is>
      </c>
      <c r="AN177" s="2" t="n"/>
      <c r="AO177" s="2" t="inlineStr">
        <is>
          <t>Batch 2 | No published email found in search results. | No publicly verified business email found.</t>
        </is>
      </c>
    </row>
    <row r="178">
      <c r="A178" s="2" t="inlineStr"/>
      <c r="B178" s="2" t="inlineStr">
        <is>
          <t>NRG Solar</t>
        </is>
      </c>
      <c r="C178" s="2" t="inlineStr"/>
      <c r="D178" s="2" t="inlineStr"/>
      <c r="E178" s="2" t="inlineStr"/>
      <c r="F178" s="2" t="inlineStr">
        <is>
          <t>Australia</t>
        </is>
      </c>
      <c r="G178" s="2" t="inlineStr">
        <is>
          <t>SA</t>
        </is>
      </c>
      <c r="H178" s="2" t="inlineStr">
        <is>
          <t>Adelaide</t>
        </is>
      </c>
      <c r="I178" s="2" t="inlineStr">
        <is>
          <t>https://www.nrgsolar.com.au/</t>
        </is>
      </c>
      <c r="J178" s="2" t="inlineStr">
        <is>
          <t>Solar &amp; battery installer</t>
        </is>
      </c>
      <c r="K178" s="2" t="inlineStr">
        <is>
          <t>Solar panels, batteries, repairs</t>
        </is>
      </c>
      <c r="L178" s="2" t="inlineStr">
        <is>
          <t>Residential</t>
        </is>
      </c>
      <c r="M178" s="2" t="inlineStr">
        <is>
          <t>Unknown</t>
        </is>
      </c>
      <c r="N178" s="2" t="inlineStr">
        <is>
          <t>Adelaide &amp; South Australia</t>
        </is>
      </c>
      <c r="O178" s="2" t="inlineStr">
        <is>
          <t>Unknown</t>
        </is>
      </c>
      <c r="P178" s="2" t="inlineStr">
        <is>
          <t>Unknown</t>
        </is>
      </c>
      <c r="Q178" s="2" t="inlineStr">
        <is>
          <t>Unknown</t>
        </is>
      </c>
      <c r="R178" s="2" t="inlineStr">
        <is>
          <t>Unknown</t>
        </is>
      </c>
      <c r="S178" s="2" t="inlineStr">
        <is>
          <t>Unknown</t>
        </is>
      </c>
      <c r="T178" s="2" t="inlineStr">
        <is>
          <t>Unknown</t>
        </is>
      </c>
      <c r="U178" s="2" t="inlineStr">
        <is>
          <t>Unknown</t>
        </is>
      </c>
      <c r="V178" s="2" t="inlineStr">
        <is>
          <t>Website; phone</t>
        </is>
      </c>
      <c r="W178" s="2" t="inlineStr">
        <is>
          <t>None found</t>
        </is>
      </c>
      <c r="X178" s="2" t="inlineStr">
        <is>
          <t>None found</t>
        </is>
      </c>
      <c r="Y178" s="2" t="inlineStr">
        <is>
          <t>None found</t>
        </is>
      </c>
      <c r="Z178" s="2" t="inlineStr">
        <is>
          <t>Website contact/quote enquiry followed by phone/email follow-up</t>
        </is>
      </c>
      <c r="AA178" s="2" t="inlineStr">
        <is>
          <t>Customer support automation</t>
        </is>
      </c>
      <c r="AB178" s="2" t="inlineStr">
        <is>
          <t>Medium</t>
        </is>
      </c>
      <c r="AC178" s="2" t="inlineStr">
        <is>
          <t>Your website presents NRG Solar as a solar &amp; battery installer serving Adelaide &amp; South Australia.</t>
        </is>
      </c>
      <c r="AD178" s="2" t="inlineStr">
        <is>
          <t>Supports the customer support automation idea: Website contact/quote enquiry followed by phone/email follow-up</t>
        </is>
      </c>
      <c r="AE178" s="2" t="inlineStr">
        <is>
          <t>I came across NRG Solar and noticed your website presents NRG Solar as a solar &amp; battery installer serving Adelaide &amp; South Australia.</t>
        </is>
      </c>
      <c r="AF178" s="2" t="inlineStr">
        <is>
          <t>Customer support at NRG Solar</t>
        </is>
      </c>
      <c r="AG178" s="2" t="inlineStr">
        <is>
          <t>Hi NRG Solar team,
I came across NRG Solar and noticed your website presents NRG Solar as a solar &amp; battery installer serving Adelaide &amp; South Australia.
I work with businesses on AI and workflow automation. For a solar company like NRG Solar, common customer questions about system performance, monitoring, warranties or service visits could be answered automatically, with anything complex passed to your team.
Support staff spend time on the issues that need them.
Would it be useful if I showed you how this could work with your current setup?
Best,
[Sender Name]
AI Automation Specialist</t>
        </is>
      </c>
      <c r="AH178" s="2" t="inlineStr">
        <is>
          <t>https://www.nrgsolar.com.au/</t>
        </is>
      </c>
      <c r="AI178" s="2" t="inlineStr">
        <is>
          <t>Title 'Solar Panels Adelaide, Solar Battery Systems &amp; Repairs | NRG Solar'.</t>
        </is>
      </c>
      <c r="AJ178" s="2" t="inlineStr">
        <is>
          <t>Company website (homepage)</t>
        </is>
      </c>
      <c r="AK178" s="2" t="inlineStr">
        <is>
          <t>Medium</t>
        </is>
      </c>
      <c r="AL178" s="2" t="inlineStr">
        <is>
          <t>Reject</t>
        </is>
      </c>
      <c r="AM178" s="2" t="inlineStr">
        <is>
          <t>Not Sent</t>
        </is>
      </c>
      <c r="AN178" s="2" t="n"/>
      <c r="AO178" s="2" t="inlineStr">
        <is>
          <t>Batch 2 | No published email found in search results. | No publicly verified business email found.</t>
        </is>
      </c>
    </row>
    <row r="179">
      <c r="A179" s="2" t="inlineStr"/>
      <c r="B179" s="2" t="inlineStr">
        <is>
          <t>Adelaide Solar Systems</t>
        </is>
      </c>
      <c r="C179" s="2" t="inlineStr"/>
      <c r="D179" s="2" t="inlineStr"/>
      <c r="E179" s="2" t="inlineStr"/>
      <c r="F179" s="2" t="inlineStr">
        <is>
          <t>Australia</t>
        </is>
      </c>
      <c r="G179" s="2" t="inlineStr">
        <is>
          <t>SA</t>
        </is>
      </c>
      <c r="H179" s="2" t="inlineStr">
        <is>
          <t>Adelaide</t>
        </is>
      </c>
      <c r="I179" s="2" t="inlineStr">
        <is>
          <t>https://www.adelaidesolarsystems.com.au/</t>
        </is>
      </c>
      <c r="J179" s="2" t="inlineStr">
        <is>
          <t>Solar &amp; battery installer</t>
        </is>
      </c>
      <c r="K179" s="2" t="inlineStr">
        <is>
          <t>Solar installation, battery storage</t>
        </is>
      </c>
      <c r="L179" s="2" t="inlineStr">
        <is>
          <t>Residential</t>
        </is>
      </c>
      <c r="M179" s="2" t="inlineStr">
        <is>
          <t>Unknown</t>
        </is>
      </c>
      <c r="N179" s="2" t="inlineStr">
        <is>
          <t>Adelaide</t>
        </is>
      </c>
      <c r="O179" s="2" t="inlineStr">
        <is>
          <t>Unknown</t>
        </is>
      </c>
      <c r="P179" s="2" t="inlineStr">
        <is>
          <t>Unknown</t>
        </is>
      </c>
      <c r="Q179" s="2" t="inlineStr">
        <is>
          <t>Unknown</t>
        </is>
      </c>
      <c r="R179" s="2" t="inlineStr">
        <is>
          <t>Unknown</t>
        </is>
      </c>
      <c r="S179" s="2" t="inlineStr">
        <is>
          <t>Unknown</t>
        </is>
      </c>
      <c r="T179" s="2" t="inlineStr">
        <is>
          <t>Unknown</t>
        </is>
      </c>
      <c r="U179" s="2" t="inlineStr">
        <is>
          <t>Unknown</t>
        </is>
      </c>
      <c r="V179" s="2" t="inlineStr">
        <is>
          <t>Website; phone</t>
        </is>
      </c>
      <c r="W179" s="2" t="inlineStr">
        <is>
          <t>None found</t>
        </is>
      </c>
      <c r="X179" s="2" t="inlineStr">
        <is>
          <t>None found</t>
        </is>
      </c>
      <c r="Y179" s="2" t="inlineStr">
        <is>
          <t>None found</t>
        </is>
      </c>
      <c r="Z179" s="2" t="inlineStr">
        <is>
          <t>Website contact/quote enquiry followed by phone/email follow-up</t>
        </is>
      </c>
      <c r="AA179" s="2" t="inlineStr">
        <is>
          <t>Quote request automation</t>
        </is>
      </c>
      <c r="AB179" s="2" t="inlineStr">
        <is>
          <t>Low</t>
        </is>
      </c>
      <c r="AC179" s="2" t="inlineStr">
        <is>
          <t>Your website presents Adelaide Solar Systems as a solar &amp; battery installer serving Adelaide.</t>
        </is>
      </c>
      <c r="AD179" s="2" t="inlineStr">
        <is>
          <t>Supports the quote request automation idea: Website contact/quote enquiry followed by phone/email follow-up</t>
        </is>
      </c>
      <c r="AE179" s="2" t="inlineStr">
        <is>
          <t>I noticed your website presents Adelaide Solar Systems as a solar &amp; battery installer serving Adelaide.</t>
        </is>
      </c>
      <c r="AF179" s="2" t="inlineStr">
        <is>
          <t>Quote requests at Adelaide Solar Systems</t>
        </is>
      </c>
      <c r="AG179" s="2" t="inlineStr">
        <is>
          <t>Hi Adelaide Solar Systems team,
I noticed your website presents Adelaide Solar Systems as a solar &amp; battery installer serving Adelaide.
I work with businesses on AI and workflow automation. For a solar company like Adelaide Solar Systems,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79" s="2" t="inlineStr">
        <is>
          <t>https://www.adelaidesolarsystems.com.au/</t>
        </is>
      </c>
      <c r="AI179" s="2" t="inlineStr">
        <is>
          <t>Title 'Solar Panel Installation | Adelaide Solar Systems'; operating since 2007 per summary.</t>
        </is>
      </c>
      <c r="AJ179" s="2" t="inlineStr">
        <is>
          <t>Company website (homepage)</t>
        </is>
      </c>
      <c r="AK179" s="2" t="inlineStr">
        <is>
          <t>Medium</t>
        </is>
      </c>
      <c r="AL179" s="2" t="inlineStr">
        <is>
          <t>Reject</t>
        </is>
      </c>
      <c r="AM179" s="2" t="inlineStr">
        <is>
          <t>Not Sent</t>
        </is>
      </c>
      <c r="AN179" s="2" t="n"/>
      <c r="AO179" s="2" t="inlineStr">
        <is>
          <t>Batch 2 | No published email found in search results. | No publicly verified business email found.</t>
        </is>
      </c>
    </row>
    <row r="180">
      <c r="A180" s="2" t="inlineStr"/>
      <c r="B180" s="2" t="inlineStr">
        <is>
          <t>Solar Energy Adelaide</t>
        </is>
      </c>
      <c r="C180" s="2" t="inlineStr"/>
      <c r="D180" s="2" t="inlineStr"/>
      <c r="E180" s="2" t="inlineStr"/>
      <c r="F180" s="2" t="inlineStr">
        <is>
          <t>Australia</t>
        </is>
      </c>
      <c r="G180" s="2" t="inlineStr">
        <is>
          <t>SA</t>
        </is>
      </c>
      <c r="H180" s="2" t="inlineStr">
        <is>
          <t>Adelaide</t>
        </is>
      </c>
      <c r="I180" s="2" t="inlineStr">
        <is>
          <t>https://solarenergyadelaide.com/</t>
        </is>
      </c>
      <c r="J180" s="2" t="inlineStr">
        <is>
          <t>Residential solar installer</t>
        </is>
      </c>
      <c r="K180" s="2" t="inlineStr">
        <is>
          <t>Solar PV</t>
        </is>
      </c>
      <c r="L180" s="2" t="inlineStr">
        <is>
          <t>Residential</t>
        </is>
      </c>
      <c r="M180" s="2" t="inlineStr">
        <is>
          <t>Unknown</t>
        </is>
      </c>
      <c r="N180" s="2" t="inlineStr">
        <is>
          <t>South Australia</t>
        </is>
      </c>
      <c r="O180" s="2" t="inlineStr">
        <is>
          <t>Unknown</t>
        </is>
      </c>
      <c r="P180" s="2" t="inlineStr">
        <is>
          <t>Unknown</t>
        </is>
      </c>
      <c r="Q180" s="2" t="inlineStr">
        <is>
          <t>Unknown</t>
        </is>
      </c>
      <c r="R180" s="2" t="inlineStr">
        <is>
          <t>Unknown</t>
        </is>
      </c>
      <c r="S180" s="2" t="inlineStr">
        <is>
          <t>Unknown</t>
        </is>
      </c>
      <c r="T180" s="2" t="inlineStr">
        <is>
          <t>Unknown</t>
        </is>
      </c>
      <c r="U180" s="2" t="inlineStr">
        <is>
          <t>Unknown</t>
        </is>
      </c>
      <c r="V180" s="2" t="inlineStr">
        <is>
          <t>Website; phone</t>
        </is>
      </c>
      <c r="W180" s="2" t="inlineStr">
        <is>
          <t>None found</t>
        </is>
      </c>
      <c r="X180" s="2" t="inlineStr">
        <is>
          <t>None found</t>
        </is>
      </c>
      <c r="Y180" s="2" t="inlineStr">
        <is>
          <t>None found</t>
        </is>
      </c>
      <c r="Z180" s="2" t="inlineStr">
        <is>
          <t>Website contact/quote enquiry followed by phone/email follow-up</t>
        </is>
      </c>
      <c r="AA180" s="2" t="inlineStr">
        <is>
          <t>Quote request automation</t>
        </is>
      </c>
      <c r="AB180" s="2" t="inlineStr">
        <is>
          <t>Low</t>
        </is>
      </c>
      <c r="AC180" s="2" t="inlineStr">
        <is>
          <t>Your website presents Solar Energy Adelaide as a residential solar installer serving South Australia.</t>
        </is>
      </c>
      <c r="AD180" s="2" t="inlineStr">
        <is>
          <t>Supports the quote request automation idea: Website contact/quote enquiry followed by phone/email follow-up</t>
        </is>
      </c>
      <c r="AE180" s="2" t="inlineStr">
        <is>
          <t>I noticed your website presents Solar Energy Adelaide as a residential solar installer serving South Australia.</t>
        </is>
      </c>
      <c r="AF180" s="2" t="inlineStr">
        <is>
          <t>A solar quote workflow idea</t>
        </is>
      </c>
      <c r="AG180" s="2" t="inlineStr">
        <is>
          <t>Hi Solar Energy Adelaide team,
I noticed your website presents Solar Energy Adelaide as a residential solar installer serving South Australia.
I work with businesses on AI and workflow automation. For a solar company like Solar Energy Adelaide,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0" s="2" t="inlineStr">
        <is>
          <t>https://solarenergyadelaide.com/contact/</t>
        </is>
      </c>
      <c r="AI180" s="2" t="inlineStr">
        <is>
          <t>Contact page 'Contact Solar Energy Adelaide'; decade+ experience.</t>
        </is>
      </c>
      <c r="AJ180" s="2" t="inlineStr">
        <is>
          <t>Company website (contact page)</t>
        </is>
      </c>
      <c r="AK180" s="2" t="inlineStr">
        <is>
          <t>Medium</t>
        </is>
      </c>
      <c r="AL180" s="2" t="inlineStr">
        <is>
          <t>Reject</t>
        </is>
      </c>
      <c r="AM180" s="2" t="inlineStr">
        <is>
          <t>Not Sent</t>
        </is>
      </c>
      <c r="AN180" s="2" t="n"/>
      <c r="AO180" s="2" t="inlineStr">
        <is>
          <t>Batch 2 | No published email found in search results. | No publicly verified business email found.</t>
        </is>
      </c>
    </row>
    <row r="181">
      <c r="A181" s="2" t="inlineStr"/>
      <c r="B181" s="2" t="inlineStr">
        <is>
          <t>In Series Electrical &amp; Solar</t>
        </is>
      </c>
      <c r="C181" s="2" t="inlineStr"/>
      <c r="D181" s="2" t="inlineStr"/>
      <c r="E181" s="2" t="inlineStr"/>
      <c r="F181" s="2" t="inlineStr">
        <is>
          <t>Australia</t>
        </is>
      </c>
      <c r="G181" s="2" t="inlineStr">
        <is>
          <t>TAS</t>
        </is>
      </c>
      <c r="H181" s="2" t="inlineStr">
        <is>
          <t>Launceston</t>
        </is>
      </c>
      <c r="I181" s="2" t="inlineStr">
        <is>
          <t>https://www.inseries.com.au/</t>
        </is>
      </c>
      <c r="J181" s="2" t="inlineStr">
        <is>
          <t>Residential &amp; commercial solar installer</t>
        </is>
      </c>
      <c r="K181" s="2" t="inlineStr">
        <is>
          <t>Solar, electrical</t>
        </is>
      </c>
      <c r="L181" s="2" t="inlineStr">
        <is>
          <t>Residential &amp; Commercial</t>
        </is>
      </c>
      <c r="M181" s="2" t="inlineStr">
        <is>
          <t>Unknown</t>
        </is>
      </c>
      <c r="N181" s="2" t="inlineStr">
        <is>
          <t>Northern Tasmania</t>
        </is>
      </c>
      <c r="O181" s="2" t="inlineStr">
        <is>
          <t>1 (147 Henry St, Launceston)</t>
        </is>
      </c>
      <c r="P181" s="2" t="inlineStr">
        <is>
          <t>Unknown</t>
        </is>
      </c>
      <c r="Q181" s="2" t="inlineStr">
        <is>
          <t>Unknown</t>
        </is>
      </c>
      <c r="R181" s="2" t="inlineStr">
        <is>
          <t>Unknown</t>
        </is>
      </c>
      <c r="S181" s="2" t="inlineStr">
        <is>
          <t>Unknown</t>
        </is>
      </c>
      <c r="T181" s="2" t="inlineStr">
        <is>
          <t>Unknown</t>
        </is>
      </c>
      <c r="U181" s="2" t="inlineStr">
        <is>
          <t>Unknown</t>
        </is>
      </c>
      <c r="V181" s="2" t="inlineStr">
        <is>
          <t>Website; phone</t>
        </is>
      </c>
      <c r="W181" s="2" t="inlineStr">
        <is>
          <t>None found</t>
        </is>
      </c>
      <c r="X181" s="2" t="inlineStr">
        <is>
          <t>None found</t>
        </is>
      </c>
      <c r="Y181" s="2" t="inlineStr">
        <is>
          <t>None found</t>
        </is>
      </c>
      <c r="Z181" s="2" t="inlineStr">
        <is>
          <t>Website contact/quote enquiry followed by phone/email follow-up</t>
        </is>
      </c>
      <c r="AA181" s="2" t="inlineStr">
        <is>
          <t>Quote request automation</t>
        </is>
      </c>
      <c r="AB181" s="2" t="inlineStr">
        <is>
          <t>Low</t>
        </is>
      </c>
      <c r="AC181" s="2" t="inlineStr">
        <is>
          <t>Your website presents In Series Electrical &amp; Solar as a residential &amp; commercial solar installer serving Northern Tasmania.</t>
        </is>
      </c>
      <c r="AD181" s="2" t="inlineStr">
        <is>
          <t>Supports the quote request automation idea: Website contact/quote enquiry followed by phone/email follow-up</t>
        </is>
      </c>
      <c r="AE181" s="2" t="inlineStr">
        <is>
          <t>I came across In Series Electrical &amp; Solar and noticed your website presents In Series Electrical &amp; Solar as a residential &amp; commercial solar installer serving Northern Tasmania.</t>
        </is>
      </c>
      <c r="AF181" s="2" t="inlineStr">
        <is>
          <t>Quote requests at In Series Electrical &amp; Solar</t>
        </is>
      </c>
      <c r="AG181" s="2" t="inlineStr">
        <is>
          <t>Hi In Series Electrical &amp; Solar team,
I came across In Series Electrical &amp; Solar and noticed your website presents In Series Electrical &amp; Solar as a residential &amp; commercial solar installer serving Northern Tasmania.
I work with businesses on AI and workflow automation. For a solar company like In Series Electrical &amp;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1" s="2" t="inlineStr">
        <is>
          <t>https://www.inseries.com.au/contacts</t>
        </is>
      </c>
      <c r="AI181" s="2" t="inlineStr">
        <is>
          <t>Contact page; address 147 Henry St Launceston; phone (03) 6339 1420; email obfuscated on site.</t>
        </is>
      </c>
      <c r="AJ181" s="2" t="inlineStr">
        <is>
          <t>Company website (contact page)</t>
        </is>
      </c>
      <c r="AK181" s="2" t="inlineStr">
        <is>
          <t>Medium</t>
        </is>
      </c>
      <c r="AL181" s="2" t="inlineStr">
        <is>
          <t>Reject</t>
        </is>
      </c>
      <c r="AM181" s="2" t="inlineStr">
        <is>
          <t>Not Sent</t>
        </is>
      </c>
      <c r="AN181" s="2" t="n"/>
      <c r="AO181" s="2" t="inlineStr">
        <is>
          <t>Batch 2 | No published email found in search results. | No publicly verified business email found.</t>
        </is>
      </c>
    </row>
    <row r="182">
      <c r="A182" s="2" t="inlineStr"/>
      <c r="B182" s="2" t="inlineStr">
        <is>
          <t>Expert Energy (Expert Electrical Tas)</t>
        </is>
      </c>
      <c r="C182" s="2" t="inlineStr"/>
      <c r="D182" s="2" t="inlineStr"/>
      <c r="E182" s="2" t="inlineStr"/>
      <c r="F182" s="2" t="inlineStr">
        <is>
          <t>Australia</t>
        </is>
      </c>
      <c r="G182" s="2" t="inlineStr">
        <is>
          <t>TAS</t>
        </is>
      </c>
      <c r="H182" s="2" t="inlineStr">
        <is>
          <t>Hobart</t>
        </is>
      </c>
      <c r="I182" s="2" t="inlineStr">
        <is>
          <t>https://www.expertelectricaltas.com.au/</t>
        </is>
      </c>
      <c r="J182" s="2" t="inlineStr">
        <is>
          <t>Solar &amp; battery installer</t>
        </is>
      </c>
      <c r="K182" s="2" t="inlineStr">
        <is>
          <t>Solar, batteries, heat pumps, electrical</t>
        </is>
      </c>
      <c r="L182" s="2" t="inlineStr">
        <is>
          <t>Residential &amp; Commercial</t>
        </is>
      </c>
      <c r="M182" s="2" t="inlineStr">
        <is>
          <t>Unknown</t>
        </is>
      </c>
      <c r="N182" s="2" t="inlineStr">
        <is>
          <t>Hobart &amp; statewide Tasmania</t>
        </is>
      </c>
      <c r="O182" s="2" t="inlineStr">
        <is>
          <t>Unknown</t>
        </is>
      </c>
      <c r="P182" s="2" t="inlineStr">
        <is>
          <t>Unknown</t>
        </is>
      </c>
      <c r="Q182" s="2" t="inlineStr">
        <is>
          <t>Unknown</t>
        </is>
      </c>
      <c r="R182" s="2" t="inlineStr">
        <is>
          <t>Unknown</t>
        </is>
      </c>
      <c r="S182" s="2" t="inlineStr">
        <is>
          <t>Unknown</t>
        </is>
      </c>
      <c r="T182" s="2" t="inlineStr">
        <is>
          <t>Unknown</t>
        </is>
      </c>
      <c r="U182" s="2" t="inlineStr">
        <is>
          <t>Unknown</t>
        </is>
      </c>
      <c r="V182" s="2" t="inlineStr">
        <is>
          <t>Website; phone</t>
        </is>
      </c>
      <c r="W182" s="2" t="inlineStr">
        <is>
          <t>None found</t>
        </is>
      </c>
      <c r="X182" s="2" t="inlineStr">
        <is>
          <t>None found</t>
        </is>
      </c>
      <c r="Y182" s="2" t="inlineStr">
        <is>
          <t>None found</t>
        </is>
      </c>
      <c r="Z182" s="2" t="inlineStr">
        <is>
          <t>Website contact/quote enquiry followed by phone/email follow-up</t>
        </is>
      </c>
      <c r="AA182" s="2" t="inlineStr">
        <is>
          <t>Quote request automation</t>
        </is>
      </c>
      <c r="AB182" s="2" t="inlineStr">
        <is>
          <t>Low</t>
        </is>
      </c>
      <c r="AC182" s="2" t="inlineStr">
        <is>
          <t>Your website presents Expert Energy (Expert Electrical Tas) as a solar &amp; battery installer serving Hobart &amp; statewide Tasmania.</t>
        </is>
      </c>
      <c r="AD182" s="2" t="inlineStr">
        <is>
          <t>Supports the quote request automation idea: Website contact/quote enquiry followed by phone/email follow-up</t>
        </is>
      </c>
      <c r="AE182" s="2" t="inlineStr">
        <is>
          <t>I noticed your website presents Expert Energy (Expert Electrical Tas) as a solar &amp; battery installer serving Hobart &amp; statewide Tasmania.</t>
        </is>
      </c>
      <c r="AF182" s="2" t="inlineStr">
        <is>
          <t>A solar quote workflow idea</t>
        </is>
      </c>
      <c r="AG182" s="2" t="inlineStr">
        <is>
          <t>Hi Expert Energy (Expert Electrical Tas) team,
I noticed your website presents Expert Energy (Expert Electrical Tas) as a solar &amp; battery installer serving Hobart &amp; statewide Tasmania.
I work with businesses on AI and workflow automation. For a solar company like Expert Energy (Expert Electrical Tas),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2" s="2" t="inlineStr">
        <is>
          <t>https://www.expertelectricaltas.com.au/</t>
        </is>
      </c>
      <c r="AI182" s="2" t="inlineStr">
        <is>
          <t>Title 'Solar, Battery &amp; Electrical Specialists Tasmania | Expert Energy'.</t>
        </is>
      </c>
      <c r="AJ182" s="2" t="inlineStr">
        <is>
          <t>Company website (homepage)</t>
        </is>
      </c>
      <c r="AK182" s="2" t="inlineStr">
        <is>
          <t>Medium</t>
        </is>
      </c>
      <c r="AL182" s="2" t="inlineStr">
        <is>
          <t>Reject</t>
        </is>
      </c>
      <c r="AM182" s="2" t="inlineStr">
        <is>
          <t>Not Sent</t>
        </is>
      </c>
      <c r="AN182" s="2" t="n"/>
      <c r="AO182" s="2" t="inlineStr">
        <is>
          <t>Batch 2 | No published email found in search results. | No publicly verified business email found.</t>
        </is>
      </c>
    </row>
    <row r="183">
      <c r="A183" s="2" t="inlineStr"/>
      <c r="B183" s="2" t="inlineStr">
        <is>
          <t>I Want Energy</t>
        </is>
      </c>
      <c r="C183" s="2" t="inlineStr"/>
      <c r="D183" s="2" t="inlineStr"/>
      <c r="E183" s="2" t="inlineStr"/>
      <c r="F183" s="2" t="inlineStr">
        <is>
          <t>Australia</t>
        </is>
      </c>
      <c r="G183" s="2" t="inlineStr">
        <is>
          <t>TAS</t>
        </is>
      </c>
      <c r="H183" s="2" t="inlineStr">
        <is>
          <t>Hobart</t>
        </is>
      </c>
      <c r="I183" s="2" t="inlineStr">
        <is>
          <t>https://www.iwantenergy.com.au/</t>
        </is>
      </c>
      <c r="J183" s="2" t="inlineStr">
        <is>
          <t>Residential solar installer</t>
        </is>
      </c>
      <c r="K183" s="2" t="inlineStr">
        <is>
          <t>Solar power</t>
        </is>
      </c>
      <c r="L183" s="2" t="inlineStr">
        <is>
          <t>Residential</t>
        </is>
      </c>
      <c r="M183" s="2" t="inlineStr">
        <is>
          <t>Unknown</t>
        </is>
      </c>
      <c r="N183" s="2" t="inlineStr">
        <is>
          <t>Tasmania</t>
        </is>
      </c>
      <c r="O183" s="2" t="inlineStr">
        <is>
          <t>Unknown</t>
        </is>
      </c>
      <c r="P183" s="2" t="inlineStr">
        <is>
          <t>Unknown</t>
        </is>
      </c>
      <c r="Q183" s="2" t="inlineStr">
        <is>
          <t>Unknown</t>
        </is>
      </c>
      <c r="R183" s="2" t="inlineStr">
        <is>
          <t>Unknown</t>
        </is>
      </c>
      <c r="S183" s="2" t="inlineStr">
        <is>
          <t>Unknown</t>
        </is>
      </c>
      <c r="T183" s="2" t="inlineStr">
        <is>
          <t>Unknown</t>
        </is>
      </c>
      <c r="U183" s="2" t="inlineStr">
        <is>
          <t>Unknown</t>
        </is>
      </c>
      <c r="V183" s="2" t="inlineStr">
        <is>
          <t>Website; phone</t>
        </is>
      </c>
      <c r="W183" s="2" t="inlineStr">
        <is>
          <t>None found</t>
        </is>
      </c>
      <c r="X183" s="2" t="inlineStr">
        <is>
          <t>None found</t>
        </is>
      </c>
      <c r="Y183" s="2" t="inlineStr">
        <is>
          <t>None found</t>
        </is>
      </c>
      <c r="Z183" s="2" t="inlineStr">
        <is>
          <t>Website contact/quote enquiry followed by phone/email follow-up</t>
        </is>
      </c>
      <c r="AA183" s="2" t="inlineStr">
        <is>
          <t>Quote request automation</t>
        </is>
      </c>
      <c r="AB183" s="2" t="inlineStr">
        <is>
          <t>Low</t>
        </is>
      </c>
      <c r="AC183" s="2" t="inlineStr">
        <is>
          <t>Your website presents I Want Energy as a residential solar installer serving Tasmania.</t>
        </is>
      </c>
      <c r="AD183" s="2" t="inlineStr">
        <is>
          <t>Supports the quote request automation idea: Website contact/quote enquiry followed by phone/email follow-up</t>
        </is>
      </c>
      <c r="AE183" s="2" t="inlineStr">
        <is>
          <t>I noticed your website presents I Want Energy as a residential solar installer serving Tasmania.</t>
        </is>
      </c>
      <c r="AF183" s="2" t="inlineStr">
        <is>
          <t>Quote requests at I Want Energy</t>
        </is>
      </c>
      <c r="AG183" s="2" t="inlineStr">
        <is>
          <t>Hi I Want Energy team,
I noticed your website presents I Want Energy as a residential solar installer serving Tasmania.
I work with businesses on AI and workflow automation. For a solar company like I Want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3" s="2" t="inlineStr">
        <is>
          <t>https://www.iwantenergy.com.au/</t>
        </is>
      </c>
      <c r="AI183" s="2" t="inlineStr">
        <is>
          <t>Title 'Solar Panels Tasmania | Solar Power Installers Hobart'; phone 1300 303 266.</t>
        </is>
      </c>
      <c r="AJ183" s="2" t="inlineStr">
        <is>
          <t>Company website (homepage)</t>
        </is>
      </c>
      <c r="AK183" s="2" t="inlineStr">
        <is>
          <t>Medium</t>
        </is>
      </c>
      <c r="AL183" s="2" t="inlineStr">
        <is>
          <t>Reject</t>
        </is>
      </c>
      <c r="AM183" s="2" t="inlineStr">
        <is>
          <t>Not Sent</t>
        </is>
      </c>
      <c r="AN183" s="2" t="n"/>
      <c r="AO183" s="2" t="inlineStr">
        <is>
          <t>Batch 2 | No published email found in search results. | No publicly verified business email found.</t>
        </is>
      </c>
    </row>
    <row r="184">
      <c r="A184" s="2" t="inlineStr"/>
      <c r="B184" s="2" t="inlineStr">
        <is>
          <t>Marshall Solar &amp; Energy</t>
        </is>
      </c>
      <c r="C184" s="2" t="inlineStr"/>
      <c r="D184" s="2" t="inlineStr"/>
      <c r="E184" s="2" t="inlineStr"/>
      <c r="F184" s="2" t="inlineStr">
        <is>
          <t>Australia</t>
        </is>
      </c>
      <c r="G184" s="2" t="inlineStr">
        <is>
          <t>TAS</t>
        </is>
      </c>
      <c r="H184" s="2" t="inlineStr"/>
      <c r="I184" s="2" t="inlineStr">
        <is>
          <t>https://marshallsolarandenergy.com.au/</t>
        </is>
      </c>
      <c r="J184" s="2" t="inlineStr">
        <is>
          <t>Residential solar installer</t>
        </is>
      </c>
      <c r="K184" s="2" t="inlineStr">
        <is>
          <t>Solar</t>
        </is>
      </c>
      <c r="L184" s="2" t="inlineStr">
        <is>
          <t>Residential</t>
        </is>
      </c>
      <c r="M184" s="2" t="inlineStr">
        <is>
          <t>Unknown</t>
        </is>
      </c>
      <c r="N184" s="2" t="inlineStr">
        <is>
          <t>Tasmania</t>
        </is>
      </c>
      <c r="O184" s="2" t="inlineStr">
        <is>
          <t>Unknown</t>
        </is>
      </c>
      <c r="P184" s="2" t="inlineStr">
        <is>
          <t>Unknown</t>
        </is>
      </c>
      <c r="Q184" s="2" t="inlineStr">
        <is>
          <t>Unknown</t>
        </is>
      </c>
      <c r="R184" s="2" t="inlineStr">
        <is>
          <t>Unknown</t>
        </is>
      </c>
      <c r="S184" s="2" t="inlineStr">
        <is>
          <t>Unknown</t>
        </is>
      </c>
      <c r="T184" s="2" t="inlineStr">
        <is>
          <t>Unknown</t>
        </is>
      </c>
      <c r="U184" s="2" t="inlineStr">
        <is>
          <t>Unknown</t>
        </is>
      </c>
      <c r="V184" s="2" t="inlineStr">
        <is>
          <t>Website; phone</t>
        </is>
      </c>
      <c r="W184" s="2" t="inlineStr">
        <is>
          <t>None found</t>
        </is>
      </c>
      <c r="X184" s="2" t="inlineStr">
        <is>
          <t>None found</t>
        </is>
      </c>
      <c r="Y184" s="2" t="inlineStr">
        <is>
          <t>None found</t>
        </is>
      </c>
      <c r="Z184" s="2" t="inlineStr">
        <is>
          <t>Website contact/quote enquiry followed by phone/email follow-up</t>
        </is>
      </c>
      <c r="AA184" s="2" t="inlineStr">
        <is>
          <t>Quote request automation</t>
        </is>
      </c>
      <c r="AB184" s="2" t="inlineStr">
        <is>
          <t>Low</t>
        </is>
      </c>
      <c r="AC184" s="2" t="inlineStr">
        <is>
          <t>Your website presents Marshall Solar &amp; Energy as a residential solar installer serving Tasmania.</t>
        </is>
      </c>
      <c r="AD184" s="2" t="inlineStr">
        <is>
          <t>Supports the quote request automation idea: Website contact/quote enquiry followed by phone/email follow-up</t>
        </is>
      </c>
      <c r="AE184" s="2" t="inlineStr">
        <is>
          <t>I came across Marshall Solar &amp; Energy and noticed your website presents Marshall Solar &amp; Energy as a residential solar installer serving Tasmania.</t>
        </is>
      </c>
      <c r="AF184" s="2" t="inlineStr">
        <is>
          <t>A solar quote workflow idea</t>
        </is>
      </c>
      <c r="AG184" s="2" t="inlineStr">
        <is>
          <t>Hi Marshall Solar &amp; Energy team,
I came across Marshall Solar &amp; Energy and noticed your website presents Marshall Solar &amp; Energy as a residential solar installer serving Tasmania.
I work with businesses on AI and workflow automation. For a solar company like Marshall Solar &amp;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4" s="2" t="inlineStr">
        <is>
          <t>https://marshallsolarandenergy.com.au/</t>
        </is>
      </c>
      <c r="AI184" s="2" t="inlineStr">
        <is>
          <t>Title 'Tassie Solar Experts | with Marshall Solar &amp; Energy'.</t>
        </is>
      </c>
      <c r="AJ184" s="2" t="inlineStr">
        <is>
          <t>Company website (homepage)</t>
        </is>
      </c>
      <c r="AK184" s="2" t="inlineStr">
        <is>
          <t>Low</t>
        </is>
      </c>
      <c r="AL184" s="2" t="inlineStr">
        <is>
          <t>Reject</t>
        </is>
      </c>
      <c r="AM184" s="2" t="inlineStr">
        <is>
          <t>Not Sent</t>
        </is>
      </c>
      <c r="AN184" s="2" t="n"/>
      <c r="AO184" s="2" t="inlineStr">
        <is>
          <t>Batch 2 | No published email found in search results. | No publicly verified business email found.</t>
        </is>
      </c>
    </row>
    <row r="185">
      <c r="A185" s="2" t="inlineStr"/>
      <c r="B185" s="2" t="inlineStr">
        <is>
          <t>SolarHub</t>
        </is>
      </c>
      <c r="C185" s="2" t="inlineStr"/>
      <c r="D185" s="2" t="inlineStr"/>
      <c r="E185" s="2" t="inlineStr"/>
      <c r="F185" s="2" t="inlineStr">
        <is>
          <t>Australia</t>
        </is>
      </c>
      <c r="G185" s="2" t="inlineStr">
        <is>
          <t>ACT</t>
        </is>
      </c>
      <c r="H185" s="2" t="inlineStr">
        <is>
          <t>Mitchell</t>
        </is>
      </c>
      <c r="I185" s="2" t="inlineStr">
        <is>
          <t>https://solarhub.net.au/</t>
        </is>
      </c>
      <c r="J185" s="2" t="inlineStr">
        <is>
          <t>Residential &amp; commercial solar installer</t>
        </is>
      </c>
      <c r="K185" s="2" t="inlineStr">
        <is>
          <t>Solar PV, batteries</t>
        </is>
      </c>
      <c r="L185" s="2" t="inlineStr">
        <is>
          <t>Residential &amp; Commercial</t>
        </is>
      </c>
      <c r="M185" s="2" t="inlineStr">
        <is>
          <t>15,000+ systems installed (per site title)</t>
        </is>
      </c>
      <c r="N185" s="2" t="inlineStr">
        <is>
          <t>Canberra / ACT</t>
        </is>
      </c>
      <c r="O185" s="2" t="inlineStr">
        <is>
          <t>1 (Mitchell, ACT)</t>
        </is>
      </c>
      <c r="P185" s="2" t="inlineStr">
        <is>
          <t>Unknown</t>
        </is>
      </c>
      <c r="Q185" s="2" t="inlineStr">
        <is>
          <t>Unknown</t>
        </is>
      </c>
      <c r="R185" s="2" t="inlineStr">
        <is>
          <t>Unknown</t>
        </is>
      </c>
      <c r="S185" s="2" t="inlineStr">
        <is>
          <t>Unknown</t>
        </is>
      </c>
      <c r="T185" s="2" t="inlineStr">
        <is>
          <t>Unknown</t>
        </is>
      </c>
      <c r="U185" s="2" t="inlineStr">
        <is>
          <t>Unknown</t>
        </is>
      </c>
      <c r="V185" s="2" t="inlineStr">
        <is>
          <t>Website; phone</t>
        </is>
      </c>
      <c r="W185" s="2" t="inlineStr">
        <is>
          <t>None found</t>
        </is>
      </c>
      <c r="X185" s="2" t="inlineStr">
        <is>
          <t>15,000+ systems installed</t>
        </is>
      </c>
      <c r="Y185" s="2" t="inlineStr">
        <is>
          <t>None found</t>
        </is>
      </c>
      <c r="Z185" s="2" t="inlineStr">
        <is>
          <t>Website contact/quote enquiry followed by phone/email follow-up</t>
        </is>
      </c>
      <c r="AA185" s="2" t="inlineStr">
        <is>
          <t>Lead qualification chatbot</t>
        </is>
      </c>
      <c r="AB185" s="2" t="inlineStr">
        <is>
          <t>High</t>
        </is>
      </c>
      <c r="AC185" s="2" t="inlineStr">
        <is>
          <t>Your site says you have installed 15,000+ systems across Canberra.</t>
        </is>
      </c>
      <c r="AD185" s="2" t="inlineStr">
        <is>
          <t>Supports the lead qualification chatbot idea: Website contact/quote enquiry followed by phone/email follow-up</t>
        </is>
      </c>
      <c r="AE185" s="2" t="inlineStr">
        <is>
          <t>I noticed your site says you have installed 15,000+ systems across Canberra.</t>
        </is>
      </c>
      <c r="AF185" s="2" t="inlineStr">
        <is>
          <t>A lead qualification idea for SolarHub</t>
        </is>
      </c>
      <c r="AG185" s="2" t="inlineStr">
        <is>
          <t>Hi SolarHub team,
I noticed your site says you have installed 15,000+ systems across Canberra.
I work with businesses on AI and workflow automation. For a solar company like SolarHub,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185" s="2" t="inlineStr">
        <is>
          <t>https://solarhub.net.au/location/canberra/</t>
        </is>
      </c>
      <c r="AI185" s="2" t="inlineStr">
        <is>
          <t>Title 'Canberra's #1 Solar Installer | 15,000+ Systems Installed | SolarHub'; based in Mitchell since 2011.</t>
        </is>
      </c>
      <c r="AJ185" s="2" t="inlineStr">
        <is>
          <t>Company website (location page)</t>
        </is>
      </c>
      <c r="AK185" s="2" t="inlineStr">
        <is>
          <t>Medium</t>
        </is>
      </c>
      <c r="AL185" s="2" t="inlineStr">
        <is>
          <t>Reject</t>
        </is>
      </c>
      <c r="AM185" s="2" t="inlineStr">
        <is>
          <t>Not Sent</t>
        </is>
      </c>
      <c r="AN185" s="2" t="n"/>
      <c r="AO185" s="2" t="inlineStr">
        <is>
          <t>Batch 2 | No published email found in search results. | No publicly verified business email found.</t>
        </is>
      </c>
    </row>
    <row r="186">
      <c r="A186" s="2" t="inlineStr"/>
      <c r="B186" s="2" t="inlineStr">
        <is>
          <t>SunBuilt Solar</t>
        </is>
      </c>
      <c r="C186" s="2" t="inlineStr"/>
      <c r="D186" s="2" t="inlineStr"/>
      <c r="E186" s="2" t="inlineStr"/>
      <c r="F186" s="2" t="inlineStr">
        <is>
          <t>Australia</t>
        </is>
      </c>
      <c r="G186" s="2" t="inlineStr">
        <is>
          <t>ACT</t>
        </is>
      </c>
      <c r="H186" s="2" t="inlineStr">
        <is>
          <t>Canberra</t>
        </is>
      </c>
      <c r="I186" s="2" t="inlineStr">
        <is>
          <t>https://sunbuiltsolar.com.au/</t>
        </is>
      </c>
      <c r="J186" s="2" t="inlineStr">
        <is>
          <t>Residential solar installer</t>
        </is>
      </c>
      <c r="K186" s="2" t="inlineStr">
        <is>
          <t>Solar panels</t>
        </is>
      </c>
      <c r="L186" s="2" t="inlineStr">
        <is>
          <t>Residential</t>
        </is>
      </c>
      <c r="M186" s="2" t="inlineStr">
        <is>
          <t>Unknown</t>
        </is>
      </c>
      <c r="N186" s="2" t="inlineStr">
        <is>
          <t>Canberra &amp; ACT region</t>
        </is>
      </c>
      <c r="O186" s="2" t="inlineStr">
        <is>
          <t>Unknown</t>
        </is>
      </c>
      <c r="P186" s="2" t="inlineStr">
        <is>
          <t>Unknown</t>
        </is>
      </c>
      <c r="Q186" s="2" t="inlineStr">
        <is>
          <t>Unknown</t>
        </is>
      </c>
      <c r="R186" s="2" t="inlineStr">
        <is>
          <t>Unknown</t>
        </is>
      </c>
      <c r="S186" s="2" t="inlineStr">
        <is>
          <t>Unknown</t>
        </is>
      </c>
      <c r="T186" s="2" t="inlineStr">
        <is>
          <t>Unknown</t>
        </is>
      </c>
      <c r="U186" s="2" t="inlineStr">
        <is>
          <t>Unknown</t>
        </is>
      </c>
      <c r="V186" s="2" t="inlineStr">
        <is>
          <t>Website; phone</t>
        </is>
      </c>
      <c r="W186" s="2" t="inlineStr">
        <is>
          <t>None found</t>
        </is>
      </c>
      <c r="X186" s="2" t="inlineStr">
        <is>
          <t>None found</t>
        </is>
      </c>
      <c r="Y186" s="2" t="inlineStr">
        <is>
          <t>None found</t>
        </is>
      </c>
      <c r="Z186" s="2" t="inlineStr">
        <is>
          <t>Website contact/quote enquiry followed by phone/email follow-up</t>
        </is>
      </c>
      <c r="AA186" s="2" t="inlineStr">
        <is>
          <t>Quote request automation</t>
        </is>
      </c>
      <c r="AB186" s="2" t="inlineStr">
        <is>
          <t>Medium</t>
        </is>
      </c>
      <c r="AC186" s="2" t="inlineStr">
        <is>
          <t>Your website presents SunBuilt Solar as a residential solar installer serving Canberra &amp; ACT region.</t>
        </is>
      </c>
      <c r="AD186" s="2" t="inlineStr">
        <is>
          <t>Supports the quote request automation idea: Website contact/quote enquiry followed by phone/email follow-up</t>
        </is>
      </c>
      <c r="AE186" s="2" t="inlineStr">
        <is>
          <t>I noticed your website presents SunBuilt Solar as a residential solar installer serving Canberra &amp; ACT region.</t>
        </is>
      </c>
      <c r="AF186" s="2" t="inlineStr">
        <is>
          <t>A solar quote workflow idea</t>
        </is>
      </c>
      <c r="AG186" s="2" t="inlineStr">
        <is>
          <t>Hi SunBuilt Solar team,
I noticed your website presents SunBuilt Solar as a residential solar installer serving Canberra &amp; ACT region.
I work with businesses on AI and workflow automation. For a solar company like SunBuilt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6" s="2" t="inlineStr">
        <is>
          <t>https://www.sunbuiltsolar.com.au/contact-us/</t>
        </is>
      </c>
      <c r="AI186" s="2" t="inlineStr">
        <is>
          <t>Contact page 'Contact Solar Installers Canberra'; phone 02 6188 9800.</t>
        </is>
      </c>
      <c r="AJ186" s="2" t="inlineStr">
        <is>
          <t>Company website (contact page)</t>
        </is>
      </c>
      <c r="AK186" s="2" t="inlineStr">
        <is>
          <t>Medium</t>
        </is>
      </c>
      <c r="AL186" s="2" t="inlineStr">
        <is>
          <t>Reject</t>
        </is>
      </c>
      <c r="AM186" s="2" t="inlineStr">
        <is>
          <t>Not Sent</t>
        </is>
      </c>
      <c r="AN186" s="2" t="n"/>
      <c r="AO186" s="2" t="inlineStr">
        <is>
          <t>Batch 2 | No published email found in search results. | No publicly verified business email found.</t>
        </is>
      </c>
    </row>
    <row r="187">
      <c r="A187" s="2" t="inlineStr"/>
      <c r="B187" s="2" t="inlineStr">
        <is>
          <t>Daddy Sun Solar</t>
        </is>
      </c>
      <c r="C187" s="2" t="inlineStr"/>
      <c r="D187" s="2" t="inlineStr"/>
      <c r="E187" s="2" t="inlineStr"/>
      <c r="F187" s="2" t="inlineStr">
        <is>
          <t>Australia</t>
        </is>
      </c>
      <c r="G187" s="2" t="inlineStr">
        <is>
          <t>ACT</t>
        </is>
      </c>
      <c r="H187" s="2" t="inlineStr">
        <is>
          <t>Canberra</t>
        </is>
      </c>
      <c r="I187" s="2" t="inlineStr">
        <is>
          <t>https://www.daddysunsolar.com.au/</t>
        </is>
      </c>
      <c r="J187" s="2" t="inlineStr">
        <is>
          <t>Residential &amp; commercial solar installer</t>
        </is>
      </c>
      <c r="K187" s="2" t="inlineStr">
        <is>
          <t>Solar panels</t>
        </is>
      </c>
      <c r="L187" s="2" t="inlineStr">
        <is>
          <t>Residential &amp; Commercial</t>
        </is>
      </c>
      <c r="M187" s="2" t="inlineStr">
        <is>
          <t>Unknown</t>
        </is>
      </c>
      <c r="N187" s="2" t="inlineStr">
        <is>
          <t>Canberra, ACT</t>
        </is>
      </c>
      <c r="O187" s="2" t="inlineStr">
        <is>
          <t>Unknown</t>
        </is>
      </c>
      <c r="P187" s="2" t="inlineStr">
        <is>
          <t>Unknown</t>
        </is>
      </c>
      <c r="Q187" s="2" t="inlineStr">
        <is>
          <t>Unknown</t>
        </is>
      </c>
      <c r="R187" s="2" t="inlineStr">
        <is>
          <t>Unknown</t>
        </is>
      </c>
      <c r="S187" s="2" t="inlineStr">
        <is>
          <t>Unknown</t>
        </is>
      </c>
      <c r="T187" s="2" t="inlineStr">
        <is>
          <t>Unknown</t>
        </is>
      </c>
      <c r="U187" s="2" t="inlineStr">
        <is>
          <t>Unknown</t>
        </is>
      </c>
      <c r="V187" s="2" t="inlineStr">
        <is>
          <t>Website; phone</t>
        </is>
      </c>
      <c r="W187" s="2" t="inlineStr">
        <is>
          <t>None found</t>
        </is>
      </c>
      <c r="X187" s="2" t="inlineStr">
        <is>
          <t>None found</t>
        </is>
      </c>
      <c r="Y187" s="2" t="inlineStr">
        <is>
          <t>None found</t>
        </is>
      </c>
      <c r="Z187" s="2" t="inlineStr">
        <is>
          <t>Website contact/quote enquiry followed by phone/email follow-up</t>
        </is>
      </c>
      <c r="AA187" s="2" t="inlineStr">
        <is>
          <t>Quote request automation</t>
        </is>
      </c>
      <c r="AB187" s="2" t="inlineStr">
        <is>
          <t>Low</t>
        </is>
      </c>
      <c r="AC187" s="2" t="inlineStr">
        <is>
          <t>Your website presents Daddy Sun Solar as a residential &amp; commercial solar installer serving Canberra, ACT.</t>
        </is>
      </c>
      <c r="AD187" s="2" t="inlineStr">
        <is>
          <t>Supports the quote request automation idea: Website contact/quote enquiry followed by phone/email follow-up</t>
        </is>
      </c>
      <c r="AE187" s="2" t="inlineStr">
        <is>
          <t>I came across Daddy Sun Solar and noticed your website presents Daddy Sun Solar as a residential &amp; commercial solar installer serving Canberra, ACT.</t>
        </is>
      </c>
      <c r="AF187" s="2" t="inlineStr">
        <is>
          <t>Quote requests at Daddy Sun Solar</t>
        </is>
      </c>
      <c r="AG187" s="2" t="inlineStr">
        <is>
          <t>Hi Daddy Sun Solar team,
I came across Daddy Sun Solar and noticed your website presents Daddy Sun Solar as a residential &amp; commercial solar installer serving Canberra, ACT.
I work with businesses on AI and workflow automation. For a solar company like Daddy Sun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7" s="2" t="inlineStr">
        <is>
          <t>https://www.daddysunsolar.com.au/</t>
        </is>
      </c>
      <c r="AI187" s="2" t="inlineStr">
        <is>
          <t>Title 'Residential &amp; Commercial Solar Panel Installer in Canberra, ACT'.</t>
        </is>
      </c>
      <c r="AJ187" s="2" t="inlineStr">
        <is>
          <t>Company website (homepage)</t>
        </is>
      </c>
      <c r="AK187" s="2" t="inlineStr">
        <is>
          <t>Medium</t>
        </is>
      </c>
      <c r="AL187" s="2" t="inlineStr">
        <is>
          <t>Reject</t>
        </is>
      </c>
      <c r="AM187" s="2" t="inlineStr">
        <is>
          <t>Not Sent</t>
        </is>
      </c>
      <c r="AN187" s="2" t="n"/>
      <c r="AO187" s="2" t="inlineStr">
        <is>
          <t>Batch 2 | No published email found in search results. | No publicly verified business email found.</t>
        </is>
      </c>
    </row>
    <row r="188">
      <c r="A188" s="2" t="inlineStr"/>
      <c r="B188" s="2" t="inlineStr">
        <is>
          <t>Territory Solar Solutions</t>
        </is>
      </c>
      <c r="C188" s="2" t="inlineStr"/>
      <c r="D188" s="2" t="inlineStr"/>
      <c r="E188" s="2" t="inlineStr"/>
      <c r="F188" s="2" t="inlineStr">
        <is>
          <t>Australia</t>
        </is>
      </c>
      <c r="G188" s="2" t="inlineStr">
        <is>
          <t>NT</t>
        </is>
      </c>
      <c r="H188" s="2" t="inlineStr">
        <is>
          <t>Darwin</t>
        </is>
      </c>
      <c r="I188" s="2" t="inlineStr">
        <is>
          <t>https://www.territorysolarsolutions.com.au/</t>
        </is>
      </c>
      <c r="J188" s="2" t="inlineStr">
        <is>
          <t>Residential solar installer</t>
        </is>
      </c>
      <c r="K188" s="2" t="inlineStr">
        <is>
          <t>Solar panels</t>
        </is>
      </c>
      <c r="L188" s="2" t="inlineStr">
        <is>
          <t>Residential</t>
        </is>
      </c>
      <c r="M188" s="2" t="inlineStr">
        <is>
          <t>Unknown</t>
        </is>
      </c>
      <c r="N188" s="2" t="inlineStr">
        <is>
          <t>Darwin &amp; Northern Territory (mobile team)</t>
        </is>
      </c>
      <c r="O188" s="2" t="inlineStr">
        <is>
          <t>Unknown</t>
        </is>
      </c>
      <c r="P188" s="2" t="inlineStr">
        <is>
          <t>Unknown</t>
        </is>
      </c>
      <c r="Q188" s="2" t="inlineStr">
        <is>
          <t>Unknown</t>
        </is>
      </c>
      <c r="R188" s="2" t="inlineStr">
        <is>
          <t>Unknown</t>
        </is>
      </c>
      <c r="S188" s="2" t="inlineStr">
        <is>
          <t>Unknown</t>
        </is>
      </c>
      <c r="T188" s="2" t="inlineStr">
        <is>
          <t>Unknown</t>
        </is>
      </c>
      <c r="U188" s="2" t="inlineStr">
        <is>
          <t>Unknown</t>
        </is>
      </c>
      <c r="V188" s="2" t="inlineStr">
        <is>
          <t>Website; phone</t>
        </is>
      </c>
      <c r="W188" s="2" t="inlineStr">
        <is>
          <t>None found</t>
        </is>
      </c>
      <c r="X188" s="2" t="inlineStr">
        <is>
          <t>None found</t>
        </is>
      </c>
      <c r="Y188" s="2" t="inlineStr">
        <is>
          <t>None found</t>
        </is>
      </c>
      <c r="Z188" s="2" t="inlineStr">
        <is>
          <t>Website contact/quote enquiry followed by phone/email follow-up</t>
        </is>
      </c>
      <c r="AA188" s="2" t="inlineStr">
        <is>
          <t>Quote request automation</t>
        </is>
      </c>
      <c r="AB188" s="2" t="inlineStr">
        <is>
          <t>Low</t>
        </is>
      </c>
      <c r="AC188" s="2" t="inlineStr">
        <is>
          <t>Your website presents Territory Solar Solutions as a residential solar installer serving Darwin &amp; Northern Territory (mobile team).</t>
        </is>
      </c>
      <c r="AD188" s="2" t="inlineStr">
        <is>
          <t>Supports the quote request automation idea: Website contact/quote enquiry followed by phone/email follow-up</t>
        </is>
      </c>
      <c r="AE188" s="2" t="inlineStr">
        <is>
          <t>I noticed your website presents Territory Solar Solutions as a residential solar installer serving Darwin &amp; Northern Territory (mobile team).</t>
        </is>
      </c>
      <c r="AF188" s="2" t="inlineStr">
        <is>
          <t>A solar quote workflow idea</t>
        </is>
      </c>
      <c r="AG188" s="2" t="inlineStr">
        <is>
          <t>Hi Territory Solar Solutions team,
I noticed your website presents Territory Solar Solutions as a residential solar installer serving Darwin &amp; Northern Territory (mobile team).
I work with businesses on AI and workflow automation. For a solar company like Territory Solar Solutions,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8" s="2" t="inlineStr">
        <is>
          <t>https://www.territorysolarsolutions.com.au/</t>
        </is>
      </c>
      <c r="AI188" s="2" t="inlineStr">
        <is>
          <t>Title 'Solar Darwin | Solar Panels Darwin'; mobile service team travels throughout NT.</t>
        </is>
      </c>
      <c r="AJ188" s="2" t="inlineStr">
        <is>
          <t>Company website (homepage)</t>
        </is>
      </c>
      <c r="AK188" s="2" t="inlineStr">
        <is>
          <t>Medium</t>
        </is>
      </c>
      <c r="AL188" s="2" t="inlineStr">
        <is>
          <t>Reject</t>
        </is>
      </c>
      <c r="AM188" s="2" t="inlineStr">
        <is>
          <t>Not Sent</t>
        </is>
      </c>
      <c r="AN188" s="2" t="n"/>
      <c r="AO188" s="2" t="inlineStr">
        <is>
          <t>Batch 2 | No published email found in search results. | No publicly verified business email found.</t>
        </is>
      </c>
    </row>
    <row r="189">
      <c r="A189" s="2" t="inlineStr"/>
      <c r="B189" s="2" t="inlineStr">
        <is>
          <t>Darwin Solar Shop</t>
        </is>
      </c>
      <c r="C189" s="2" t="inlineStr"/>
      <c r="D189" s="2" t="inlineStr"/>
      <c r="E189" s="2" t="inlineStr"/>
      <c r="F189" s="2" t="inlineStr">
        <is>
          <t>Australia</t>
        </is>
      </c>
      <c r="G189" s="2" t="inlineStr">
        <is>
          <t>NT</t>
        </is>
      </c>
      <c r="H189" s="2" t="inlineStr">
        <is>
          <t>Darwin</t>
        </is>
      </c>
      <c r="I189" s="2" t="inlineStr">
        <is>
          <t>https://www.darwinsolar.com.au/</t>
        </is>
      </c>
      <c r="J189" s="2" t="inlineStr">
        <is>
          <t>Solar &amp; battery installer</t>
        </is>
      </c>
      <c r="K189" s="2" t="inlineStr">
        <is>
          <t>Solar panels, battery storage</t>
        </is>
      </c>
      <c r="L189" s="2" t="inlineStr">
        <is>
          <t>Residential</t>
        </is>
      </c>
      <c r="M189" s="2" t="inlineStr">
        <is>
          <t>Unknown</t>
        </is>
      </c>
      <c r="N189" s="2" t="inlineStr">
        <is>
          <t>Darwin</t>
        </is>
      </c>
      <c r="O189" s="2" t="inlineStr">
        <is>
          <t>Unknown</t>
        </is>
      </c>
      <c r="P189" s="2" t="inlineStr">
        <is>
          <t>Unknown</t>
        </is>
      </c>
      <c r="Q189" s="2" t="inlineStr">
        <is>
          <t>Unknown</t>
        </is>
      </c>
      <c r="R189" s="2" t="inlineStr">
        <is>
          <t>Unknown</t>
        </is>
      </c>
      <c r="S189" s="2" t="inlineStr">
        <is>
          <t>Unknown</t>
        </is>
      </c>
      <c r="T189" s="2" t="inlineStr">
        <is>
          <t>Unknown</t>
        </is>
      </c>
      <c r="U189" s="2" t="inlineStr">
        <is>
          <t>Unknown</t>
        </is>
      </c>
      <c r="V189" s="2" t="inlineStr">
        <is>
          <t>Website; phone</t>
        </is>
      </c>
      <c r="W189" s="2" t="inlineStr">
        <is>
          <t>None found</t>
        </is>
      </c>
      <c r="X189" s="2" t="inlineStr">
        <is>
          <t>None found</t>
        </is>
      </c>
      <c r="Y189" s="2" t="inlineStr">
        <is>
          <t>None found</t>
        </is>
      </c>
      <c r="Z189" s="2" t="inlineStr">
        <is>
          <t>Website contact/quote enquiry followed by phone/email follow-up</t>
        </is>
      </c>
      <c r="AA189" s="2" t="inlineStr">
        <is>
          <t>Quote request automation</t>
        </is>
      </c>
      <c r="AB189" s="2" t="inlineStr">
        <is>
          <t>Low</t>
        </is>
      </c>
      <c r="AC189" s="2" t="inlineStr">
        <is>
          <t>Your website presents Darwin Solar Shop as a solar &amp; battery installer serving Darwin.</t>
        </is>
      </c>
      <c r="AD189" s="2" t="inlineStr">
        <is>
          <t>Supports the quote request automation idea: Website contact/quote enquiry followed by phone/email follow-up</t>
        </is>
      </c>
      <c r="AE189" s="2" t="inlineStr">
        <is>
          <t>I noticed your website presents Darwin Solar Shop as a solar &amp; battery installer serving Darwin.</t>
        </is>
      </c>
      <c r="AF189" s="2" t="inlineStr">
        <is>
          <t>Quote requests at Darwin Solar Shop</t>
        </is>
      </c>
      <c r="AG189" s="2" t="inlineStr">
        <is>
          <t>Hi Darwin Solar Shop team,
I noticed your website presents Darwin Solar Shop as a solar &amp; battery installer serving Darwin.
I work with businesses on AI and workflow automation. For a solar company like Darwin Solar Shop,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89" s="2" t="inlineStr">
        <is>
          <t>https://www.darwinsolar.com.au/</t>
        </is>
      </c>
      <c r="AI189" s="2" t="inlineStr">
        <is>
          <t>Title 'Solar Panels &amp; Battery Storage Darwin | Darwin Solar Shop'.</t>
        </is>
      </c>
      <c r="AJ189" s="2" t="inlineStr">
        <is>
          <t>Company website (homepage)</t>
        </is>
      </c>
      <c r="AK189" s="2" t="inlineStr">
        <is>
          <t>Medium</t>
        </is>
      </c>
      <c r="AL189" s="2" t="inlineStr">
        <is>
          <t>Reject</t>
        </is>
      </c>
      <c r="AM189" s="2" t="inlineStr">
        <is>
          <t>Not Sent</t>
        </is>
      </c>
      <c r="AN189" s="2" t="n"/>
      <c r="AO189" s="2" t="inlineStr">
        <is>
          <t>Batch 2 | No published email found in search results. | No publicly verified business email found.</t>
        </is>
      </c>
    </row>
    <row r="190">
      <c r="A190" s="2" t="inlineStr"/>
      <c r="B190" s="2" t="inlineStr">
        <is>
          <t>Solarwerke Bayern GmbH &amp; Co. KG</t>
        </is>
      </c>
      <c r="C190" s="2" t="inlineStr"/>
      <c r="D190" s="2" t="inlineStr"/>
      <c r="E190" s="2" t="inlineStr">
        <is>
          <t>info@solarwerkebayern.de</t>
        </is>
      </c>
      <c r="F190" s="2" t="inlineStr">
        <is>
          <t>Germany</t>
        </is>
      </c>
      <c r="G190" s="2" t="inlineStr">
        <is>
          <t>Bavaria</t>
        </is>
      </c>
      <c r="H190" s="2" t="inlineStr">
        <is>
          <t>Schwabhausen</t>
        </is>
      </c>
      <c r="I190" s="2" t="inlineStr">
        <is>
          <t>https://solarwerkebayern.de/</t>
        </is>
      </c>
      <c r="J190" s="2" t="inlineStr">
        <is>
          <t>Solar &amp; battery installer</t>
        </is>
      </c>
      <c r="K190" s="2" t="inlineStr">
        <is>
          <t>Solar PV, battery storage, inverters, maintenance</t>
        </is>
      </c>
      <c r="L190" s="2" t="inlineStr">
        <is>
          <t>Residential</t>
        </is>
      </c>
      <c r="M190" s="2" t="inlineStr">
        <is>
          <t>Unknown</t>
        </is>
      </c>
      <c r="N190" s="2" t="inlineStr">
        <is>
          <t>Greater Munich</t>
        </is>
      </c>
      <c r="O190" s="2" t="inlineStr">
        <is>
          <t>1 (Schwabhausen)</t>
        </is>
      </c>
      <c r="P190" s="2" t="inlineStr">
        <is>
          <t>Unknown</t>
        </is>
      </c>
      <c r="Q190" s="2" t="inlineStr">
        <is>
          <t>Yes</t>
        </is>
      </c>
      <c r="R190" s="2" t="inlineStr">
        <is>
          <t>Unknown</t>
        </is>
      </c>
      <c r="S190" s="2" t="inlineStr">
        <is>
          <t>Unknown</t>
        </is>
      </c>
      <c r="T190" s="2" t="inlineStr">
        <is>
          <t>Unknown</t>
        </is>
      </c>
      <c r="U190" s="2" t="inlineStr">
        <is>
          <t>Phone + email; maintenance service</t>
        </is>
      </c>
      <c r="V190" s="2" t="inlineStr">
        <is>
          <t>Website; phone; Instagram</t>
        </is>
      </c>
      <c r="W190" s="2" t="inlineStr">
        <is>
          <t>None found</t>
        </is>
      </c>
      <c r="X190" s="2" t="inlineStr">
        <is>
          <t>None found</t>
        </is>
      </c>
      <c r="Y190" s="2" t="inlineStr">
        <is>
          <t>Consultation -&gt; planning -&gt; installation -&gt; maintenance</t>
        </is>
      </c>
      <c r="Z190" s="2" t="inlineStr">
        <is>
          <t>Phone/email-based consultation requests</t>
        </is>
      </c>
      <c r="AA190" s="2" t="inlineStr">
        <is>
          <t>Appointment booking automation</t>
        </is>
      </c>
      <c r="AB190" s="2" t="inlineStr">
        <is>
          <t>Medium</t>
        </is>
      </c>
      <c r="AC190" s="2" t="inlineStr">
        <is>
          <t>You install PV and battery systems across the Munich area as a certified Meisterbetrieb, quoting installation within 4-6 weeks.</t>
        </is>
      </c>
      <c r="AD190" s="2" t="inlineStr">
        <is>
          <t>Supports the appointment booking automation idea: Phone/email-based consultation requests</t>
        </is>
      </c>
      <c r="AE190" s="2" t="inlineStr">
        <is>
          <t>I came across Solarwerke Bayern GmbH &amp; Co. KG and noticed you install PV and battery systems across the Munich area as a certified Meisterbetrieb, quoting installation within 4-6 weeks.</t>
        </is>
      </c>
      <c r="AF190" s="2" t="inlineStr">
        <is>
          <t>Consultation booking at Solarwerke Bayern GmbH &amp; Co. KG</t>
        </is>
      </c>
      <c r="AG190" s="2" t="inlineStr">
        <is>
          <t>Hi Solarwerke Bayern GmbH &amp; Co. KG team,
I came across Solarwerke Bayern GmbH &amp; Co. KG and noticed you install PV and battery systems across the Munich area as a certified Meisterbetrieb, quoting installation within 4-6 weeks.
I work with businesses on AI and workflow automation. For a solar company like Solarwerke Bayern GmbH &amp; Co. KG,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190" s="2" t="inlineStr">
        <is>
          <t>https://solarwerkebayern.de/</t>
        </is>
      </c>
      <c r="AI190" s="2" t="inlineStr">
        <is>
          <t>Exact-match search for the email returns solarwerkebayern.de pages and an aroundhome listing (Schwabhausen 85247); site has pages for modules, Fronius inverters, battery storage.</t>
        </is>
      </c>
      <c r="AJ190" s="2" t="inlineStr">
        <is>
          <t>Company website</t>
        </is>
      </c>
      <c r="AK190" s="2" t="inlineStr">
        <is>
          <t>High</t>
        </is>
      </c>
      <c r="AL190" s="2" t="inlineStr">
        <is>
          <t>Ready</t>
        </is>
      </c>
      <c r="AM190" s="2" t="inlineStr">
        <is>
          <t>Not Sent</t>
        </is>
      </c>
      <c r="AN190" s="2" t="n"/>
      <c r="AO190" s="2" t="inlineStr">
        <is>
          <t>Batch 2 | 4-6 week install claim comes from search summary.</t>
        </is>
      </c>
    </row>
    <row r="191">
      <c r="A191" s="2" t="inlineStr"/>
      <c r="B191" s="2" t="inlineStr">
        <is>
          <t>Premium Solaranlagen</t>
        </is>
      </c>
      <c r="C191" s="2" t="inlineStr"/>
      <c r="D191" s="2" t="inlineStr"/>
      <c r="E191" s="2" t="inlineStr">
        <is>
          <t>info@premiumsolaranlagen.com</t>
        </is>
      </c>
      <c r="F191" s="2" t="inlineStr">
        <is>
          <t>Germany</t>
        </is>
      </c>
      <c r="G191" s="2" t="inlineStr">
        <is>
          <t>Bavaria</t>
        </is>
      </c>
      <c r="H191" s="2" t="inlineStr">
        <is>
          <t>Munich</t>
        </is>
      </c>
      <c r="I191" s="2" t="inlineStr">
        <is>
          <t>https://premiumsolaranlagen.com/</t>
        </is>
      </c>
      <c r="J191" s="2" t="inlineStr">
        <is>
          <t>Residential &amp; commercial solar installer</t>
        </is>
      </c>
      <c r="K191" s="2" t="inlineStr">
        <is>
          <t>Solar PV for homes and businesses</t>
        </is>
      </c>
      <c r="L191" s="2" t="inlineStr">
        <is>
          <t>Residential &amp; Commercial</t>
        </is>
      </c>
      <c r="M191" s="2" t="inlineStr">
        <is>
          <t>Unknown</t>
        </is>
      </c>
      <c r="N191" s="2" t="inlineStr">
        <is>
          <t>Multiple German cities (Munich, Cologne, Dortmund pages)</t>
        </is>
      </c>
      <c r="O191" s="2" t="inlineStr">
        <is>
          <t>HQ Am Moosfeld 27, 81829 Munich; city pages for Cologne and Dortmund</t>
        </is>
      </c>
      <c r="P191" s="2" t="inlineStr">
        <is>
          <t>Yes</t>
        </is>
      </c>
      <c r="Q191" s="2" t="inlineStr">
        <is>
          <t>Unknown</t>
        </is>
      </c>
      <c r="R191" s="2" t="inlineStr">
        <is>
          <t>Unknown</t>
        </is>
      </c>
      <c r="S191" s="2" t="inlineStr">
        <is>
          <t>Yes</t>
        </is>
      </c>
      <c r="T191" s="2" t="inlineStr">
        <is>
          <t>Unknown</t>
        </is>
      </c>
      <c r="U191" s="2" t="inlineStr">
        <is>
          <t>Phone + email</t>
        </is>
      </c>
      <c r="V191" s="2" t="inlineStr">
        <is>
          <t>Website quote page; city landing pages; phone</t>
        </is>
      </c>
      <c r="W191" s="2" t="inlineStr">
        <is>
          <t>None found</t>
        </is>
      </c>
      <c r="X191" s="2" t="inlineStr">
        <is>
          <t>City landing pages for Munich, Cologne, Dortmund</t>
        </is>
      </c>
      <c r="Y191" s="2" t="inlineStr">
        <is>
          <t>Individual quote request page</t>
        </is>
      </c>
      <c r="Z191" s="2" t="inlineStr">
        <is>
          <t>Web quote request (/individuelles-angebot/) followed by manual follow-up</t>
        </is>
      </c>
      <c r="AA191" s="2" t="inlineStr">
        <is>
          <t>Lead routing</t>
        </is>
      </c>
      <c r="AB191" s="2" t="inlineStr">
        <is>
          <t>High</t>
        </is>
      </c>
      <c r="AC191" s="2" t="inlineStr">
        <is>
          <t>Your site has an 'Individuelles Angebot' page and separate landing pages for Munich, Cologne and Dortmund.</t>
        </is>
      </c>
      <c r="AD191" s="2" t="inlineStr">
        <is>
          <t>Supports the lead routing idea: Web quote request (/individuelles-angebot/) followed by manual follow-up</t>
        </is>
      </c>
      <c r="AE191" s="2" t="inlineStr">
        <is>
          <t>I noticed your site has an 'Individuelles Angebot' page and separate landing pages for Munich, Cologne and Dortmund.</t>
        </is>
      </c>
      <c r="AF191" s="2" t="inlineStr">
        <is>
          <t>A lead routing idea for Premium Solaranlagen</t>
        </is>
      </c>
      <c r="AG191" s="2" t="inlineStr">
        <is>
          <t>Hi Premium Solaranlagen team,
I noticed your site has an 'Individuelles Angebot' page and separate landing pages for Munich, Cologne and Dortmund.
I work with businesses on AI and workflow automation. For a solar company like Premium Solaranlagen,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191" s="2" t="inlineStr">
        <is>
          <t>https://premiumsolaranlagen.com/individuelles-angebot/</t>
        </is>
      </c>
      <c r="AI191" s="2" t="inlineStr">
        <is>
          <t>Exact-match email search returns premiumsolaranlagen.com pages incl. /individuelles-angebot/, /muenchen/, /koeln/, /dortmund/, /unternehmen/ (commercial).</t>
        </is>
      </c>
      <c r="AJ191" s="2" t="inlineStr">
        <is>
          <t>Company website (quote page)</t>
        </is>
      </c>
      <c r="AK191" s="2" t="inlineStr">
        <is>
          <t>High</t>
        </is>
      </c>
      <c r="AL191" s="2" t="inlineStr">
        <is>
          <t>Ready</t>
        </is>
      </c>
      <c r="AM191" s="2" t="inlineStr">
        <is>
          <t>Not Sent</t>
        </is>
      </c>
      <c r="AN191" s="2" t="n"/>
      <c r="AO191" s="2" t="inlineStr">
        <is>
          <t>Batch 2 | Whether the city pages reflect physical offices is unknown.</t>
        </is>
      </c>
    </row>
    <row r="192">
      <c r="A192" s="2" t="inlineStr"/>
      <c r="B192" s="2" t="inlineStr">
        <is>
          <t>EcoSolar GmbH</t>
        </is>
      </c>
      <c r="C192" s="2" t="inlineStr"/>
      <c r="D192" s="2" t="inlineStr"/>
      <c r="E192" s="2" t="inlineStr">
        <is>
          <t>info@eco-solar24.de</t>
        </is>
      </c>
      <c r="F192" s="2" t="inlineStr">
        <is>
          <t>Germany</t>
        </is>
      </c>
      <c r="G192" s="2" t="inlineStr">
        <is>
          <t>Hamburg</t>
        </is>
      </c>
      <c r="H192" s="2" t="inlineStr">
        <is>
          <t>Hamburg</t>
        </is>
      </c>
      <c r="I192" s="2" t="inlineStr">
        <is>
          <t>https://www.eco-solar24.de/</t>
        </is>
      </c>
      <c r="J192" s="2" t="inlineStr">
        <is>
          <t>Residential solar installer</t>
        </is>
      </c>
      <c r="K192" s="2" t="inlineStr">
        <is>
          <t>Solar PV, solar thermal, mounting systems</t>
        </is>
      </c>
      <c r="L192" s="2" t="inlineStr">
        <is>
          <t>Residential</t>
        </is>
      </c>
      <c r="M192" s="2" t="inlineStr">
        <is>
          <t>Unknown</t>
        </is>
      </c>
      <c r="N192" s="2" t="inlineStr">
        <is>
          <t>Hamburg and surroundings</t>
        </is>
      </c>
      <c r="O192" s="2" t="inlineStr">
        <is>
          <t>1 (Loher Strasse 33, Hamburg)</t>
        </is>
      </c>
      <c r="P192" s="2" t="inlineStr">
        <is>
          <t>Yes</t>
        </is>
      </c>
      <c r="Q192" s="2" t="inlineStr">
        <is>
          <t>Unknown</t>
        </is>
      </c>
      <c r="R192" s="2" t="inlineStr">
        <is>
          <t>Unknown</t>
        </is>
      </c>
      <c r="S192" s="2" t="inlineStr">
        <is>
          <t>Yes</t>
        </is>
      </c>
      <c r="T192" s="2" t="inlineStr">
        <is>
          <t>Unknown</t>
        </is>
      </c>
      <c r="U192" s="2" t="inlineStr">
        <is>
          <t>Phone + email</t>
        </is>
      </c>
      <c r="V192" s="2" t="inlineStr">
        <is>
          <t>Website contact/quote form; phone; news section</t>
        </is>
      </c>
      <c r="W192" s="2" t="inlineStr">
        <is>
          <t>None found</t>
        </is>
      </c>
      <c r="X192" s="2" t="inlineStr">
        <is>
          <t>None found</t>
        </is>
      </c>
      <c r="Y192" s="2" t="inlineStr">
        <is>
          <t>Contact form inquiries answered by email same business day</t>
        </is>
      </c>
      <c r="Z192" s="2" t="inlineStr">
        <is>
          <t>Contact form answered manually by email</t>
        </is>
      </c>
      <c r="AA192" s="2" t="inlineStr">
        <is>
          <t>Email follow up</t>
        </is>
      </c>
      <c r="AB192" s="2" t="inlineStr">
        <is>
          <t>Medium</t>
        </is>
      </c>
      <c r="AC192" s="2" t="inlineStr">
        <is>
          <t>Your contact page promises that form inquiries are usually answered by email the same business day.</t>
        </is>
      </c>
      <c r="AD192" s="2" t="inlineStr">
        <is>
          <t>Supports the email follow up idea: Contact form answered manually by email</t>
        </is>
      </c>
      <c r="AE192" s="2" t="inlineStr">
        <is>
          <t>I was looking at your website and saw that your contact page promises that form inquiries are usually answered by email the same business day.</t>
        </is>
      </c>
      <c r="AF192" s="2" t="inlineStr">
        <is>
          <t>Email follow up at EcoSolar GmbH</t>
        </is>
      </c>
      <c r="AG192" s="2" t="inlineStr">
        <is>
          <t>Hi EcoSolar GmbH team,
I was looking at your website and saw that your contact page promises that form inquiries are usually answered by email the same business day.
I work with businesses on AI and workflow automation. For a solar company like EcoSolar GmbH, a short email sequence could follow up on each enquiry, share relevant info on panels, batteries or financing, and hand warm replies to your team.
It keeps leads engaged without extra manual emails.
Would it be useful if I showed you how this could work with your current setup?
Best,
[Sender Name]
AI Automation Specialist</t>
        </is>
      </c>
      <c r="AH192" s="2" t="inlineStr">
        <is>
          <t>https://www.eco-solar24.de/de/angebot-photovoltaik</t>
        </is>
      </c>
      <c r="AI192" s="2" t="inlineStr">
        <is>
          <t>Exact-match email search returns eco-solar24.de pages incl. /angebot-photovoltaik and /unternehmen/kontakt; offers PV and solar thermal.</t>
        </is>
      </c>
      <c r="AJ192" s="2" t="inlineStr">
        <is>
          <t>Company website (contact page)</t>
        </is>
      </c>
      <c r="AK192" s="2" t="inlineStr">
        <is>
          <t>High</t>
        </is>
      </c>
      <c r="AL192" s="2" t="inlineStr">
        <is>
          <t>Ready</t>
        </is>
      </c>
      <c r="AM192" s="2" t="inlineStr">
        <is>
          <t>Not Sent</t>
        </is>
      </c>
      <c r="AN192" s="2" t="n"/>
      <c r="AO192" s="2" t="inlineStr">
        <is>
          <t>Batch 2 | Email source: https://www.eco-solar24.de/de/unternehmen/kontakt</t>
        </is>
      </c>
    </row>
    <row r="193">
      <c r="A193" s="2" t="inlineStr"/>
      <c r="B193" s="2" t="inlineStr">
        <is>
          <t>enerix Muenchen</t>
        </is>
      </c>
      <c r="C193" s="2" t="inlineStr"/>
      <c r="D193" s="2" t="inlineStr"/>
      <c r="E193" s="2" t="inlineStr"/>
      <c r="F193" s="2" t="inlineStr">
        <is>
          <t>Germany</t>
        </is>
      </c>
      <c r="G193" s="2" t="inlineStr">
        <is>
          <t>Bavaria</t>
        </is>
      </c>
      <c r="H193" s="2" t="inlineStr">
        <is>
          <t>Munich</t>
        </is>
      </c>
      <c r="I193" s="2" t="inlineStr">
        <is>
          <t>https://www.enerix.de/</t>
        </is>
      </c>
      <c r="J193" s="2" t="inlineStr">
        <is>
          <t>Solar &amp; battery installer</t>
        </is>
      </c>
      <c r="K193" s="2" t="inlineStr">
        <is>
          <t>Solar PV, battery storage, heat pumps</t>
        </is>
      </c>
      <c r="L193" s="2" t="inlineStr">
        <is>
          <t>Residential</t>
        </is>
      </c>
      <c r="M193" s="2" t="inlineStr">
        <is>
          <t>Unknown</t>
        </is>
      </c>
      <c r="N193" s="2" t="inlineStr">
        <is>
          <t>Munich region</t>
        </is>
      </c>
      <c r="O193" s="2" t="inlineStr">
        <is>
          <t>Unknown</t>
        </is>
      </c>
      <c r="P193" s="2" t="inlineStr">
        <is>
          <t>Unknown</t>
        </is>
      </c>
      <c r="Q193" s="2" t="inlineStr">
        <is>
          <t>Unknown</t>
        </is>
      </c>
      <c r="R193" s="2" t="inlineStr">
        <is>
          <t>Unknown</t>
        </is>
      </c>
      <c r="S193" s="2" t="inlineStr">
        <is>
          <t>Unknown</t>
        </is>
      </c>
      <c r="T193" s="2" t="inlineStr">
        <is>
          <t>Unknown</t>
        </is>
      </c>
      <c r="U193" s="2" t="inlineStr">
        <is>
          <t>Unknown</t>
        </is>
      </c>
      <c r="V193" s="2" t="inlineStr">
        <is>
          <t>Website</t>
        </is>
      </c>
      <c r="W193" s="2" t="inlineStr">
        <is>
          <t>None found</t>
        </is>
      </c>
      <c r="X193" s="2" t="inlineStr">
        <is>
          <t>None found</t>
        </is>
      </c>
      <c r="Y193" s="2" t="inlineStr">
        <is>
          <t>None found</t>
        </is>
      </c>
      <c r="Z193" s="2" t="inlineStr">
        <is>
          <t>Website inquiry; no further process evidence</t>
        </is>
      </c>
      <c r="AA193" s="2" t="inlineStr">
        <is>
          <t>Quote request automation</t>
        </is>
      </c>
      <c r="AB193" s="2" t="inlineStr">
        <is>
          <t>Medium</t>
        </is>
      </c>
      <c r="AC193" s="2" t="inlineStr">
        <is>
          <t>Your website markets solar installation for Munich region.</t>
        </is>
      </c>
      <c r="AD193" s="2" t="inlineStr">
        <is>
          <t>Supports the quote request automation idea: Website inquiry; no further process evidence</t>
        </is>
      </c>
      <c r="AE193" s="2" t="inlineStr">
        <is>
          <t>I came across enerix Muenchen and noticed your website markets solar installation for Munich region.</t>
        </is>
      </c>
      <c r="AF193" s="2" t="inlineStr">
        <is>
          <t>Quote requests at enerix Muenchen</t>
        </is>
      </c>
      <c r="AG193" s="2" t="inlineStr">
        <is>
          <t>Hi enerix Muenchen team,
I came across enerix Muenchen and noticed your website markets solar installation for Munich region.
I work with businesses on AI and workflow automation. For a solar company like enerix Muenchen,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93" s="2" t="inlineStr">
        <is>
          <t>https://www.enerix.de/standorte/enerix-muenchen/</t>
        </is>
      </c>
      <c r="AI193" s="2" t="inlineStr">
        <is>
          <t>Regional enerix franchise location since 2007; phone 089 46221133 (search summary).</t>
        </is>
      </c>
      <c r="AJ193" s="2" t="inlineStr">
        <is>
          <t>Company website</t>
        </is>
      </c>
      <c r="AK193" s="2" t="inlineStr">
        <is>
          <t>Low</t>
        </is>
      </c>
      <c r="AL193" s="2" t="inlineStr">
        <is>
          <t>Reject</t>
        </is>
      </c>
      <c r="AM193" s="2" t="inlineStr">
        <is>
          <t>Not Sent</t>
        </is>
      </c>
      <c r="AN193" s="2" t="n"/>
      <c r="AO193" s="2" t="inlineStr">
        <is>
          <t>Batch 2 | Email not found: search budget exhausted before an email lookup/verification could be run for this company. enerix is a franchise network; this is the Munich partner page. | No publicly verified business email found.</t>
        </is>
      </c>
    </row>
    <row r="194">
      <c r="A194" s="2" t="inlineStr"/>
      <c r="B194" s="2" t="inlineStr">
        <is>
          <t>Reithofer Solar</t>
        </is>
      </c>
      <c r="C194" s="2" t="inlineStr"/>
      <c r="D194" s="2" t="inlineStr"/>
      <c r="E194" s="2" t="inlineStr"/>
      <c r="F194" s="2" t="inlineStr">
        <is>
          <t>Germany</t>
        </is>
      </c>
      <c r="G194" s="2" t="inlineStr">
        <is>
          <t>Bavaria</t>
        </is>
      </c>
      <c r="H194" s="2" t="inlineStr"/>
      <c r="I194" s="2" t="inlineStr">
        <is>
          <t>https://reithofer-solar.de/</t>
        </is>
      </c>
      <c r="J194" s="2" t="inlineStr">
        <is>
          <t>Residential solar installer</t>
        </is>
      </c>
      <c r="K194" s="2" t="inlineStr">
        <is>
          <t>Solar PV</t>
        </is>
      </c>
      <c r="L194" s="2" t="inlineStr">
        <is>
          <t>Residential</t>
        </is>
      </c>
      <c r="M194" s="2" t="inlineStr">
        <is>
          <t>Unknown</t>
        </is>
      </c>
      <c r="N194" s="2" t="inlineStr">
        <is>
          <t>Munich area</t>
        </is>
      </c>
      <c r="O194" s="2" t="inlineStr">
        <is>
          <t>Unknown</t>
        </is>
      </c>
      <c r="P194" s="2" t="inlineStr">
        <is>
          <t>Unknown</t>
        </is>
      </c>
      <c r="Q194" s="2" t="inlineStr">
        <is>
          <t>Unknown</t>
        </is>
      </c>
      <c r="R194" s="2" t="inlineStr">
        <is>
          <t>Unknown</t>
        </is>
      </c>
      <c r="S194" s="2" t="inlineStr">
        <is>
          <t>Unknown</t>
        </is>
      </c>
      <c r="T194" s="2" t="inlineStr">
        <is>
          <t>Unknown</t>
        </is>
      </c>
      <c r="U194" s="2" t="inlineStr">
        <is>
          <t>Unknown</t>
        </is>
      </c>
      <c r="V194" s="2" t="inlineStr">
        <is>
          <t>Website</t>
        </is>
      </c>
      <c r="W194" s="2" t="inlineStr">
        <is>
          <t>None found</t>
        </is>
      </c>
      <c r="X194" s="2" t="inlineStr">
        <is>
          <t>None found</t>
        </is>
      </c>
      <c r="Y194" s="2" t="inlineStr">
        <is>
          <t>None found</t>
        </is>
      </c>
      <c r="Z194" s="2" t="inlineStr">
        <is>
          <t>Website inquiry; no further process evidence</t>
        </is>
      </c>
      <c r="AA194" s="2" t="inlineStr">
        <is>
          <t>Quote request automation</t>
        </is>
      </c>
      <c r="AB194" s="2" t="inlineStr">
        <is>
          <t>Low</t>
        </is>
      </c>
      <c r="AC194" s="2" t="inlineStr">
        <is>
          <t>Your website markets solar installation for Munich area.</t>
        </is>
      </c>
      <c r="AD194" s="2" t="inlineStr">
        <is>
          <t>Supports the quote request automation idea: Website inquiry; no further process evidence</t>
        </is>
      </c>
      <c r="AE194" s="2" t="inlineStr">
        <is>
          <t>I noticed your website markets solar installation for Munich area.</t>
        </is>
      </c>
      <c r="AF194" s="2" t="inlineStr">
        <is>
          <t>A solar quote workflow idea</t>
        </is>
      </c>
      <c r="AG194" s="2" t="inlineStr">
        <is>
          <t>Hi Reithofer Solar team,
I noticed your website markets solar installation for Munich area.
I work with businesses on AI and workflow automation. For a solar company like Reithofer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94" s="2" t="inlineStr">
        <is>
          <t>https://reithofer-solar.de/</t>
        </is>
      </c>
      <c r="AI194" s="2" t="inlineStr">
        <is>
          <t>Site has page 'Photovoltaik Privat Muenchen'.</t>
        </is>
      </c>
      <c r="AJ194" s="2" t="inlineStr">
        <is>
          <t>Company website</t>
        </is>
      </c>
      <c r="AK194" s="2" t="inlineStr">
        <is>
          <t>Low</t>
        </is>
      </c>
      <c r="AL194" s="2" t="inlineStr">
        <is>
          <t>Reject</t>
        </is>
      </c>
      <c r="AM194" s="2" t="inlineStr">
        <is>
          <t>Not Sent</t>
        </is>
      </c>
      <c r="AN194" s="2" t="n"/>
      <c r="AO194" s="2" t="inlineStr">
        <is>
          <t>Batch 2 | Email not found: search budget exhausted before an email lookup/verification could be run for this company. | No publicly verified business email found.</t>
        </is>
      </c>
    </row>
    <row r="195">
      <c r="A195" s="2" t="inlineStr"/>
      <c r="B195" s="2" t="inlineStr">
        <is>
          <t>GSB Photovoltaik</t>
        </is>
      </c>
      <c r="C195" s="2" t="inlineStr"/>
      <c r="D195" s="2" t="inlineStr"/>
      <c r="E195" s="2" t="inlineStr"/>
      <c r="F195" s="2" t="inlineStr">
        <is>
          <t>Germany</t>
        </is>
      </c>
      <c r="G195" s="2" t="inlineStr">
        <is>
          <t>Bavaria</t>
        </is>
      </c>
      <c r="H195" s="2" t="inlineStr"/>
      <c r="I195" s="2" t="inlineStr">
        <is>
          <t>https://gsb-pv.de/</t>
        </is>
      </c>
      <c r="J195" s="2" t="inlineStr">
        <is>
          <t>Residential &amp; commercial solar installer</t>
        </is>
      </c>
      <c r="K195" s="2" t="inlineStr">
        <is>
          <t>Solar PV</t>
        </is>
      </c>
      <c r="L195" s="2" t="inlineStr">
        <is>
          <t>Residential</t>
        </is>
      </c>
      <c r="M195" s="2" t="inlineStr">
        <is>
          <t>Unknown</t>
        </is>
      </c>
      <c r="N195" s="2" t="inlineStr">
        <is>
          <t>Munich area</t>
        </is>
      </c>
      <c r="O195" s="2" t="inlineStr">
        <is>
          <t>Unknown</t>
        </is>
      </c>
      <c r="P195" s="2" t="inlineStr">
        <is>
          <t>Unknown</t>
        </is>
      </c>
      <c r="Q195" s="2" t="inlineStr">
        <is>
          <t>Unknown</t>
        </is>
      </c>
      <c r="R195" s="2" t="inlineStr">
        <is>
          <t>Unknown</t>
        </is>
      </c>
      <c r="S195" s="2" t="inlineStr">
        <is>
          <t>Unknown</t>
        </is>
      </c>
      <c r="T195" s="2" t="inlineStr">
        <is>
          <t>Unknown</t>
        </is>
      </c>
      <c r="U195" s="2" t="inlineStr">
        <is>
          <t>Unknown</t>
        </is>
      </c>
      <c r="V195" s="2" t="inlineStr">
        <is>
          <t>Website</t>
        </is>
      </c>
      <c r="W195" s="2" t="inlineStr">
        <is>
          <t>None found</t>
        </is>
      </c>
      <c r="X195" s="2" t="inlineStr">
        <is>
          <t>None found</t>
        </is>
      </c>
      <c r="Y195" s="2" t="inlineStr">
        <is>
          <t>None found</t>
        </is>
      </c>
      <c r="Z195" s="2" t="inlineStr">
        <is>
          <t>Website inquiry; no further process evidence</t>
        </is>
      </c>
      <c r="AA195" s="2" t="inlineStr">
        <is>
          <t>Quote request automation</t>
        </is>
      </c>
      <c r="AB195" s="2" t="inlineStr">
        <is>
          <t>Low</t>
        </is>
      </c>
      <c r="AC195" s="2" t="inlineStr">
        <is>
          <t>Your website markets solar installation for Munich area.</t>
        </is>
      </c>
      <c r="AD195" s="2" t="inlineStr">
        <is>
          <t>Supports the quote request automation idea: Website inquiry; no further process evidence</t>
        </is>
      </c>
      <c r="AE195" s="2" t="inlineStr">
        <is>
          <t>I noticed your website markets solar installation for Munich area.</t>
        </is>
      </c>
      <c r="AF195" s="2" t="inlineStr">
        <is>
          <t>Quote requests at GSB Photovoltaik</t>
        </is>
      </c>
      <c r="AG195" s="2" t="inlineStr">
        <is>
          <t>Hi GSB Photovoltaik team,
I noticed your website markets solar installation for Munich area.
I work with businesses on AI and workflow automation. For a solar company like GSB Photovoltaik,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95" s="2" t="inlineStr">
        <is>
          <t>https://gsb-pv.de/</t>
        </is>
      </c>
      <c r="AI195" s="2" t="inlineStr">
        <is>
          <t>Homepage title 'Solaranlagen von GSB Photovoltaik: Photovoltaik Muenchen'; serves owners and businesses.</t>
        </is>
      </c>
      <c r="AJ195" s="2" t="inlineStr">
        <is>
          <t>Company website</t>
        </is>
      </c>
      <c r="AK195" s="2" t="inlineStr">
        <is>
          <t>Low</t>
        </is>
      </c>
      <c r="AL195" s="2" t="inlineStr">
        <is>
          <t>Reject</t>
        </is>
      </c>
      <c r="AM195" s="2" t="inlineStr">
        <is>
          <t>Not Sent</t>
        </is>
      </c>
      <c r="AN195" s="2" t="n"/>
      <c r="AO195" s="2" t="inlineStr">
        <is>
          <t>Batch 2 | Email not found: search budget exhausted before an email lookup/verification could be run for this company. | No publicly verified business email found.</t>
        </is>
      </c>
    </row>
    <row r="196">
      <c r="A196" s="2" t="inlineStr"/>
      <c r="B196" s="2" t="inlineStr">
        <is>
          <t>Schoen Solar</t>
        </is>
      </c>
      <c r="C196" s="2" t="inlineStr"/>
      <c r="D196" s="2" t="inlineStr"/>
      <c r="E196" s="2" t="inlineStr"/>
      <c r="F196" s="2" t="inlineStr">
        <is>
          <t>Germany</t>
        </is>
      </c>
      <c r="G196" s="2" t="inlineStr">
        <is>
          <t>Bavaria</t>
        </is>
      </c>
      <c r="H196" s="2" t="inlineStr"/>
      <c r="I196" s="2" t="inlineStr">
        <is>
          <t>https://schoen-solar.de/</t>
        </is>
      </c>
      <c r="J196" s="2" t="inlineStr">
        <is>
          <t>Residential solar installer</t>
        </is>
      </c>
      <c r="K196" s="2" t="inlineStr">
        <is>
          <t>Solar PV planning, installation, maintenance</t>
        </is>
      </c>
      <c r="L196" s="2" t="inlineStr">
        <is>
          <t>Residential</t>
        </is>
      </c>
      <c r="M196" s="2" t="inlineStr">
        <is>
          <t>Unknown</t>
        </is>
      </c>
      <c r="N196" s="2" t="inlineStr">
        <is>
          <t>Munich and surroundings</t>
        </is>
      </c>
      <c r="O196" s="2" t="inlineStr">
        <is>
          <t>Unknown</t>
        </is>
      </c>
      <c r="P196" s="2" t="inlineStr">
        <is>
          <t>Unknown</t>
        </is>
      </c>
      <c r="Q196" s="2" t="inlineStr">
        <is>
          <t>Unknown</t>
        </is>
      </c>
      <c r="R196" s="2" t="inlineStr">
        <is>
          <t>Unknown</t>
        </is>
      </c>
      <c r="S196" s="2" t="inlineStr">
        <is>
          <t>Unknown</t>
        </is>
      </c>
      <c r="T196" s="2" t="inlineStr">
        <is>
          <t>Unknown</t>
        </is>
      </c>
      <c r="U196" s="2" t="inlineStr">
        <is>
          <t>Unknown</t>
        </is>
      </c>
      <c r="V196" s="2" t="inlineStr">
        <is>
          <t>Website</t>
        </is>
      </c>
      <c r="W196" s="2" t="inlineStr">
        <is>
          <t>None found</t>
        </is>
      </c>
      <c r="X196" s="2" t="inlineStr">
        <is>
          <t>None found</t>
        </is>
      </c>
      <c r="Y196" s="2" t="inlineStr">
        <is>
          <t>None found</t>
        </is>
      </c>
      <c r="Z196" s="2" t="inlineStr">
        <is>
          <t>Website inquiry; no further process evidence</t>
        </is>
      </c>
      <c r="AA196" s="2" t="inlineStr">
        <is>
          <t>Quote request automation</t>
        </is>
      </c>
      <c r="AB196" s="2" t="inlineStr">
        <is>
          <t>Low</t>
        </is>
      </c>
      <c r="AC196" s="2" t="inlineStr">
        <is>
          <t>Your website markets solar installation for Munich and surroundings.</t>
        </is>
      </c>
      <c r="AD196" s="2" t="inlineStr">
        <is>
          <t>Supports the quote request automation idea: Website inquiry; no further process evidence</t>
        </is>
      </c>
      <c r="AE196" s="2" t="inlineStr">
        <is>
          <t>I came across Schoen Solar and noticed your website markets solar installation for Munich and surroundings.</t>
        </is>
      </c>
      <c r="AF196" s="2" t="inlineStr">
        <is>
          <t>A solar quote workflow idea</t>
        </is>
      </c>
      <c r="AG196" s="2" t="inlineStr">
        <is>
          <t>Hi Schoen Solar team,
I came across Schoen Solar and noticed your website markets solar installation for Munich and surroundings.
I work with businesses on AI and workflow automation. For a solar company like Schoen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96" s="2" t="inlineStr">
        <is>
          <t>https://schoen-solar.de/</t>
        </is>
      </c>
      <c r="AI196" s="2" t="inlineStr">
        <is>
          <t>Homepage title 'Ihr Solateur in Muenchen und Umgebung'.</t>
        </is>
      </c>
      <c r="AJ196" s="2" t="inlineStr">
        <is>
          <t>Company website</t>
        </is>
      </c>
      <c r="AK196" s="2" t="inlineStr">
        <is>
          <t>Low</t>
        </is>
      </c>
      <c r="AL196" s="2" t="inlineStr">
        <is>
          <t>Reject</t>
        </is>
      </c>
      <c r="AM196" s="2" t="inlineStr">
        <is>
          <t>Not Sent</t>
        </is>
      </c>
      <c r="AN196" s="2" t="n"/>
      <c r="AO196" s="2" t="inlineStr">
        <is>
          <t>Batch 2 | Email not found: search budget exhausted before an email lookup/verification could be run for this company. | No publicly verified business email found.</t>
        </is>
      </c>
    </row>
    <row r="197">
      <c r="A197" s="2" t="inlineStr"/>
      <c r="B197" s="2" t="inlineStr">
        <is>
          <t>TICON Energy</t>
        </is>
      </c>
      <c r="C197" s="2" t="inlineStr"/>
      <c r="D197" s="2" t="inlineStr"/>
      <c r="E197" s="2" t="inlineStr"/>
      <c r="F197" s="2" t="inlineStr">
        <is>
          <t>Germany</t>
        </is>
      </c>
      <c r="G197" s="2" t="inlineStr">
        <is>
          <t>Berlin</t>
        </is>
      </c>
      <c r="H197" s="2" t="inlineStr">
        <is>
          <t>Berlin</t>
        </is>
      </c>
      <c r="I197" s="2" t="inlineStr">
        <is>
          <t>https://www.ticon-energy.de/</t>
        </is>
      </c>
      <c r="J197" s="2" t="inlineStr">
        <is>
          <t>Residential solar installer</t>
        </is>
      </c>
      <c r="K197" s="2" t="inlineStr">
        <is>
          <t>Solar PV</t>
        </is>
      </c>
      <c r="L197" s="2" t="inlineStr">
        <is>
          <t>Residential</t>
        </is>
      </c>
      <c r="M197" s="2" t="inlineStr">
        <is>
          <t>Unknown</t>
        </is>
      </c>
      <c r="N197" s="2" t="inlineStr">
        <is>
          <t>Berlin</t>
        </is>
      </c>
      <c r="O197" s="2" t="inlineStr">
        <is>
          <t>Unknown</t>
        </is>
      </c>
      <c r="P197" s="2" t="inlineStr">
        <is>
          <t>Unknown</t>
        </is>
      </c>
      <c r="Q197" s="2" t="inlineStr">
        <is>
          <t>Unknown</t>
        </is>
      </c>
      <c r="R197" s="2" t="inlineStr">
        <is>
          <t>Unknown</t>
        </is>
      </c>
      <c r="S197" s="2" t="inlineStr">
        <is>
          <t>Unknown</t>
        </is>
      </c>
      <c r="T197" s="2" t="inlineStr">
        <is>
          <t>Unknown</t>
        </is>
      </c>
      <c r="U197" s="2" t="inlineStr">
        <is>
          <t>Unknown</t>
        </is>
      </c>
      <c r="V197" s="2" t="inlineStr">
        <is>
          <t>Website</t>
        </is>
      </c>
      <c r="W197" s="2" t="inlineStr">
        <is>
          <t>None found</t>
        </is>
      </c>
      <c r="X197" s="2" t="inlineStr">
        <is>
          <t>None found</t>
        </is>
      </c>
      <c r="Y197" s="2" t="inlineStr">
        <is>
          <t>None found</t>
        </is>
      </c>
      <c r="Z197" s="2" t="inlineStr">
        <is>
          <t>Website inquiry; no further process evidence</t>
        </is>
      </c>
      <c r="AA197" s="2" t="inlineStr">
        <is>
          <t>Quote request automation</t>
        </is>
      </c>
      <c r="AB197" s="2" t="inlineStr">
        <is>
          <t>Low</t>
        </is>
      </c>
      <c r="AC197" s="2" t="inlineStr">
        <is>
          <t>Your website markets solar installation for Berlin.</t>
        </is>
      </c>
      <c r="AD197" s="2" t="inlineStr">
        <is>
          <t>Supports the quote request automation idea: Website inquiry; no further process evidence</t>
        </is>
      </c>
      <c r="AE197" s="2" t="inlineStr">
        <is>
          <t>I noticed your website markets solar installation for Berlin.</t>
        </is>
      </c>
      <c r="AF197" s="2" t="inlineStr">
        <is>
          <t>Quote requests at TICON Energy</t>
        </is>
      </c>
      <c r="AG197" s="2" t="inlineStr">
        <is>
          <t>Hi TICON Energy team,
I noticed your website markets solar installation for Berlin.
I work with businesses on AI and workflow automation. For a solar company like TICON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97" s="2" t="inlineStr">
        <is>
          <t>https://www.ticon-energy.de/pv-anbieter-berlin/</t>
        </is>
      </c>
      <c r="AI197" s="2" t="inlineStr">
        <is>
          <t>Page 'Solaranlage &amp; PV-Anlage in Berlin'; consults homeowners and rental properties (summary).</t>
        </is>
      </c>
      <c r="AJ197" s="2" t="inlineStr">
        <is>
          <t>Company website</t>
        </is>
      </c>
      <c r="AK197" s="2" t="inlineStr">
        <is>
          <t>Low</t>
        </is>
      </c>
      <c r="AL197" s="2" t="inlineStr">
        <is>
          <t>Reject</t>
        </is>
      </c>
      <c r="AM197" s="2" t="inlineStr">
        <is>
          <t>Not Sent</t>
        </is>
      </c>
      <c r="AN197" s="2" t="n"/>
      <c r="AO197" s="2" t="inlineStr">
        <is>
          <t>Batch 2 | Email not found: search budget exhausted before an email lookup/verification could be run for this company. | No publicly verified business email found.</t>
        </is>
      </c>
    </row>
    <row r="198">
      <c r="A198" s="2" t="inlineStr"/>
      <c r="B198" s="2" t="inlineStr">
        <is>
          <t>Solaro</t>
        </is>
      </c>
      <c r="C198" s="2" t="inlineStr"/>
      <c r="D198" s="2" t="inlineStr"/>
      <c r="E198" s="2" t="inlineStr"/>
      <c r="F198" s="2" t="inlineStr">
        <is>
          <t>Germany</t>
        </is>
      </c>
      <c r="G198" s="2" t="inlineStr">
        <is>
          <t>Berlin</t>
        </is>
      </c>
      <c r="H198" s="2" t="inlineStr"/>
      <c r="I198" s="2" t="inlineStr">
        <is>
          <t>https://solaro-pv.de/</t>
        </is>
      </c>
      <c r="J198" s="2" t="inlineStr">
        <is>
          <t>Residential solar installer</t>
        </is>
      </c>
      <c r="K198" s="2" t="inlineStr">
        <is>
          <t>Solar PV, financing advice</t>
        </is>
      </c>
      <c r="L198" s="2" t="inlineStr">
        <is>
          <t>Residential</t>
        </is>
      </c>
      <c r="M198" s="2" t="inlineStr">
        <is>
          <t>Unknown</t>
        </is>
      </c>
      <c r="N198" s="2" t="inlineStr">
        <is>
          <t>Berlin &amp; Brandenburg</t>
        </is>
      </c>
      <c r="O198" s="2" t="inlineStr">
        <is>
          <t>Unknown</t>
        </is>
      </c>
      <c r="P198" s="2" t="inlineStr">
        <is>
          <t>Unknown</t>
        </is>
      </c>
      <c r="Q198" s="2" t="inlineStr">
        <is>
          <t>Unknown</t>
        </is>
      </c>
      <c r="R198" s="2" t="inlineStr">
        <is>
          <t>Unknown</t>
        </is>
      </c>
      <c r="S198" s="2" t="inlineStr">
        <is>
          <t>Unknown</t>
        </is>
      </c>
      <c r="T198" s="2" t="inlineStr">
        <is>
          <t>Unknown</t>
        </is>
      </c>
      <c r="U198" s="2" t="inlineStr">
        <is>
          <t>Unknown</t>
        </is>
      </c>
      <c r="V198" s="2" t="inlineStr">
        <is>
          <t>Website</t>
        </is>
      </c>
      <c r="W198" s="2" t="inlineStr">
        <is>
          <t>None found</t>
        </is>
      </c>
      <c r="X198" s="2" t="inlineStr">
        <is>
          <t>None found</t>
        </is>
      </c>
      <c r="Y198" s="2" t="inlineStr">
        <is>
          <t>None found</t>
        </is>
      </c>
      <c r="Z198" s="2" t="inlineStr">
        <is>
          <t>Website inquiry; no further process evidence</t>
        </is>
      </c>
      <c r="AA198" s="2" t="inlineStr">
        <is>
          <t>Quote request automation</t>
        </is>
      </c>
      <c r="AB198" s="2" t="inlineStr">
        <is>
          <t>Medium</t>
        </is>
      </c>
      <c r="AC198" s="2" t="inlineStr">
        <is>
          <t>Your website markets solar installation for Berlin &amp; Brandenburg.</t>
        </is>
      </c>
      <c r="AD198" s="2" t="inlineStr">
        <is>
          <t>Supports the quote request automation idea: Website inquiry; no further process evidence</t>
        </is>
      </c>
      <c r="AE198" s="2" t="inlineStr">
        <is>
          <t>I noticed your website markets solar installation for Berlin &amp; Brandenburg.</t>
        </is>
      </c>
      <c r="AF198" s="2" t="inlineStr">
        <is>
          <t>A solar quote workflow idea</t>
        </is>
      </c>
      <c r="AG198" s="2" t="inlineStr">
        <is>
          <t>Hi Solaro team,
I noticed your website markets solar installation for Berlin &amp; Brandenburg.
I work with businesses on AI and workflow automation. For a solar company like Solaro,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98" s="2" t="inlineStr">
        <is>
          <t>https://solaro-pv.de/</t>
        </is>
      </c>
      <c r="AI198" s="2" t="inlineStr">
        <is>
          <t>Title 'Solaro - Photovoltaik Berlin &amp; Brandenburg vom Fachbetrieb'; free initial consultation (summary).</t>
        </is>
      </c>
      <c r="AJ198" s="2" t="inlineStr">
        <is>
          <t>Company website</t>
        </is>
      </c>
      <c r="AK198" s="2" t="inlineStr">
        <is>
          <t>Low</t>
        </is>
      </c>
      <c r="AL198" s="2" t="inlineStr">
        <is>
          <t>Reject</t>
        </is>
      </c>
      <c r="AM198" s="2" t="inlineStr">
        <is>
          <t>Not Sent</t>
        </is>
      </c>
      <c r="AN198" s="2" t="n"/>
      <c r="AO198" s="2" t="inlineStr">
        <is>
          <t>Batch 2 | Email not found: search budget exhausted before an email lookup/verification could be run for this company. | No publicly verified business email found.</t>
        </is>
      </c>
    </row>
    <row r="199">
      <c r="A199" s="2" t="inlineStr"/>
      <c r="B199" s="2" t="inlineStr">
        <is>
          <t>Sunday Solar</t>
        </is>
      </c>
      <c r="C199" s="2" t="inlineStr"/>
      <c r="D199" s="2" t="inlineStr"/>
      <c r="E199" s="2" t="inlineStr"/>
      <c r="F199" s="2" t="inlineStr">
        <is>
          <t>Germany</t>
        </is>
      </c>
      <c r="G199" s="2" t="inlineStr">
        <is>
          <t>Berlin</t>
        </is>
      </c>
      <c r="H199" s="2" t="inlineStr"/>
      <c r="I199" s="2" t="inlineStr">
        <is>
          <t>https://sundaysolar.de/</t>
        </is>
      </c>
      <c r="J199" s="2" t="inlineStr">
        <is>
          <t>Solar &amp; heat pump installer</t>
        </is>
      </c>
      <c r="K199" s="2" t="inlineStr">
        <is>
          <t>Solar PV, heat pumps</t>
        </is>
      </c>
      <c r="L199" s="2" t="inlineStr">
        <is>
          <t>Residential</t>
        </is>
      </c>
      <c r="M199" s="2" t="inlineStr">
        <is>
          <t>Unknown</t>
        </is>
      </c>
      <c r="N199" s="2" t="inlineStr">
        <is>
          <t>Berlin &amp; Brandenburg</t>
        </is>
      </c>
      <c r="O199" s="2" t="inlineStr">
        <is>
          <t>Unknown</t>
        </is>
      </c>
      <c r="P199" s="2" t="inlineStr">
        <is>
          <t>Unknown</t>
        </is>
      </c>
      <c r="Q199" s="2" t="inlineStr">
        <is>
          <t>Unknown</t>
        </is>
      </c>
      <c r="R199" s="2" t="inlineStr">
        <is>
          <t>Unknown</t>
        </is>
      </c>
      <c r="S199" s="2" t="inlineStr">
        <is>
          <t>Unknown</t>
        </is>
      </c>
      <c r="T199" s="2" t="inlineStr">
        <is>
          <t>Unknown</t>
        </is>
      </c>
      <c r="U199" s="2" t="inlineStr">
        <is>
          <t>Unknown</t>
        </is>
      </c>
      <c r="V199" s="2" t="inlineStr">
        <is>
          <t>Website</t>
        </is>
      </c>
      <c r="W199" s="2" t="inlineStr">
        <is>
          <t>None found</t>
        </is>
      </c>
      <c r="X199" s="2" t="inlineStr">
        <is>
          <t>None found</t>
        </is>
      </c>
      <c r="Y199" s="2" t="inlineStr">
        <is>
          <t>None found</t>
        </is>
      </c>
      <c r="Z199" s="2" t="inlineStr">
        <is>
          <t>Website inquiry; no further process evidence</t>
        </is>
      </c>
      <c r="AA199" s="2" t="inlineStr">
        <is>
          <t>Quote request automation</t>
        </is>
      </c>
      <c r="AB199" s="2" t="inlineStr">
        <is>
          <t>Low</t>
        </is>
      </c>
      <c r="AC199" s="2" t="inlineStr">
        <is>
          <t>Your website markets solar installation for Berlin &amp; Brandenburg.</t>
        </is>
      </c>
      <c r="AD199" s="2" t="inlineStr">
        <is>
          <t>Supports the quote request automation idea: Website inquiry; no further process evidence</t>
        </is>
      </c>
      <c r="AE199" s="2" t="inlineStr">
        <is>
          <t>I came across Sunday Solar and noticed your website markets solar installation for Berlin &amp; Brandenburg.</t>
        </is>
      </c>
      <c r="AF199" s="2" t="inlineStr">
        <is>
          <t>Quote requests at Sunday Solar</t>
        </is>
      </c>
      <c r="AG199" s="2" t="inlineStr">
        <is>
          <t>Hi Sunday Solar team,
I came across Sunday Solar and noticed your website markets solar installation for Berlin &amp; Brandenburg.
I work with businesses on AI and workflow automation. For a solar company like Sunday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199" s="2" t="inlineStr">
        <is>
          <t>https://sundaysolar.de/</t>
        </is>
      </c>
      <c r="AI199" s="2" t="inlineStr">
        <is>
          <t>Title 'Solaranlagen &amp; Waermepumpen fuer Berlin &amp; Brandenburg'.</t>
        </is>
      </c>
      <c r="AJ199" s="2" t="inlineStr">
        <is>
          <t>Company website</t>
        </is>
      </c>
      <c r="AK199" s="2" t="inlineStr">
        <is>
          <t>Low</t>
        </is>
      </c>
      <c r="AL199" s="2" t="inlineStr">
        <is>
          <t>Reject</t>
        </is>
      </c>
      <c r="AM199" s="2" t="inlineStr">
        <is>
          <t>Not Sent</t>
        </is>
      </c>
      <c r="AN199" s="2" t="n"/>
      <c r="AO199" s="2" t="inlineStr">
        <is>
          <t>Batch 2 | Email not found: search budget exhausted before an email lookup/verification could be run for this company. | No publicly verified business email found.</t>
        </is>
      </c>
    </row>
    <row r="200">
      <c r="A200" s="2" t="inlineStr"/>
      <c r="B200" s="2" t="inlineStr">
        <is>
          <t>Koelner Solar Profis GmbH</t>
        </is>
      </c>
      <c r="C200" s="2" t="inlineStr"/>
      <c r="D200" s="2" t="inlineStr"/>
      <c r="E200" s="2" t="inlineStr"/>
      <c r="F200" s="2" t="inlineStr">
        <is>
          <t>Germany</t>
        </is>
      </c>
      <c r="G200" s="2" t="inlineStr">
        <is>
          <t>North Rhine-Westphalia</t>
        </is>
      </c>
      <c r="H200" s="2" t="inlineStr">
        <is>
          <t>Kerpen</t>
        </is>
      </c>
      <c r="I200" s="2" t="inlineStr">
        <is>
          <t>https://koelnersolarprofis.de/</t>
        </is>
      </c>
      <c r="J200" s="2" t="inlineStr">
        <is>
          <t>Residential solar installer</t>
        </is>
      </c>
      <c r="K200" s="2" t="inlineStr">
        <is>
          <t>Solar PV</t>
        </is>
      </c>
      <c r="L200" s="2" t="inlineStr">
        <is>
          <t>Residential</t>
        </is>
      </c>
      <c r="M200" s="2" t="inlineStr">
        <is>
          <t>Unknown</t>
        </is>
      </c>
      <c r="N200" s="2" t="inlineStr">
        <is>
          <t>Cologne area</t>
        </is>
      </c>
      <c r="O200" s="2" t="inlineStr">
        <is>
          <t>Unknown</t>
        </is>
      </c>
      <c r="P200" s="2" t="inlineStr">
        <is>
          <t>Unknown</t>
        </is>
      </c>
      <c r="Q200" s="2" t="inlineStr">
        <is>
          <t>Unknown</t>
        </is>
      </c>
      <c r="R200" s="2" t="inlineStr">
        <is>
          <t>Unknown</t>
        </is>
      </c>
      <c r="S200" s="2" t="inlineStr">
        <is>
          <t>Unknown</t>
        </is>
      </c>
      <c r="T200" s="2" t="inlineStr">
        <is>
          <t>Unknown</t>
        </is>
      </c>
      <c r="U200" s="2" t="inlineStr">
        <is>
          <t>Unknown</t>
        </is>
      </c>
      <c r="V200" s="2" t="inlineStr">
        <is>
          <t>Website</t>
        </is>
      </c>
      <c r="W200" s="2" t="inlineStr">
        <is>
          <t>None found</t>
        </is>
      </c>
      <c r="X200" s="2" t="inlineStr">
        <is>
          <t>None found</t>
        </is>
      </c>
      <c r="Y200" s="2" t="inlineStr">
        <is>
          <t>None found</t>
        </is>
      </c>
      <c r="Z200" s="2" t="inlineStr">
        <is>
          <t>Website inquiry; no further process evidence</t>
        </is>
      </c>
      <c r="AA200" s="2" t="inlineStr">
        <is>
          <t>Quote request automation</t>
        </is>
      </c>
      <c r="AB200" s="2" t="inlineStr">
        <is>
          <t>Low</t>
        </is>
      </c>
      <c r="AC200" s="2" t="inlineStr">
        <is>
          <t>Your website markets solar installation for Cologne area.</t>
        </is>
      </c>
      <c r="AD200" s="2" t="inlineStr">
        <is>
          <t>Supports the quote request automation idea: Website inquiry; no further process evidence</t>
        </is>
      </c>
      <c r="AE200" s="2" t="inlineStr">
        <is>
          <t>I noticed your website markets solar installation for Cologne area.</t>
        </is>
      </c>
      <c r="AF200" s="2" t="inlineStr">
        <is>
          <t>A solar quote workflow idea</t>
        </is>
      </c>
      <c r="AG200" s="2" t="inlineStr">
        <is>
          <t>Hi Koelner Solar Profis GmbH team,
I noticed your website markets solar installation for Cologne area.
I work with businesses on AI and workflow automation. For a solar company like Koelner Solar Profis GmbH,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0" s="2" t="inlineStr">
        <is>
          <t>https://koelnersolarprofis.de/</t>
        </is>
      </c>
      <c r="AI200" s="2" t="inlineStr">
        <is>
          <t>Meisterbetrieb for 15 years; Dieselstr. 8, 50170 Kerpen (summary).</t>
        </is>
      </c>
      <c r="AJ200" s="2" t="inlineStr">
        <is>
          <t>Company website</t>
        </is>
      </c>
      <c r="AK200" s="2" t="inlineStr">
        <is>
          <t>Low</t>
        </is>
      </c>
      <c r="AL200" s="2" t="inlineStr">
        <is>
          <t>Reject</t>
        </is>
      </c>
      <c r="AM200" s="2" t="inlineStr">
        <is>
          <t>Not Sent</t>
        </is>
      </c>
      <c r="AN200" s="2" t="n"/>
      <c r="AO200" s="2" t="inlineStr">
        <is>
          <t>Batch 2 | Email not found: search budget exhausted before an email lookup/verification could be run for this company. | No publicly verified business email found.</t>
        </is>
      </c>
    </row>
    <row r="201">
      <c r="A201" s="2" t="inlineStr"/>
      <c r="B201" s="2" t="inlineStr">
        <is>
          <t>PV Green</t>
        </is>
      </c>
      <c r="C201" s="2" t="inlineStr"/>
      <c r="D201" s="2" t="inlineStr"/>
      <c r="E201" s="2" t="inlineStr"/>
      <c r="F201" s="2" t="inlineStr">
        <is>
          <t>Germany</t>
        </is>
      </c>
      <c r="G201" s="2" t="inlineStr">
        <is>
          <t>North Rhine-Westphalia</t>
        </is>
      </c>
      <c r="H201" s="2" t="inlineStr"/>
      <c r="I201" s="2" t="inlineStr">
        <is>
          <t>https://pvgreen.de/</t>
        </is>
      </c>
      <c r="J201" s="2" t="inlineStr">
        <is>
          <t>Residential solar installer</t>
        </is>
      </c>
      <c r="K201" s="2" t="inlineStr">
        <is>
          <t>Solar PV</t>
        </is>
      </c>
      <c r="L201" s="2" t="inlineStr">
        <is>
          <t>Residential</t>
        </is>
      </c>
      <c r="M201" s="2" t="inlineStr">
        <is>
          <t>Unknown</t>
        </is>
      </c>
      <c r="N201" s="2" t="inlineStr">
        <is>
          <t>Multiple locations incl. Cologne</t>
        </is>
      </c>
      <c r="O201" s="2" t="inlineStr">
        <is>
          <t>Unknown</t>
        </is>
      </c>
      <c r="P201" s="2" t="inlineStr">
        <is>
          <t>Unknown</t>
        </is>
      </c>
      <c r="Q201" s="2" t="inlineStr">
        <is>
          <t>Unknown</t>
        </is>
      </c>
      <c r="R201" s="2" t="inlineStr">
        <is>
          <t>Unknown</t>
        </is>
      </c>
      <c r="S201" s="2" t="inlineStr">
        <is>
          <t>Unknown</t>
        </is>
      </c>
      <c r="T201" s="2" t="inlineStr">
        <is>
          <t>Unknown</t>
        </is>
      </c>
      <c r="U201" s="2" t="inlineStr">
        <is>
          <t>Unknown</t>
        </is>
      </c>
      <c r="V201" s="2" t="inlineStr">
        <is>
          <t>Website</t>
        </is>
      </c>
      <c r="W201" s="2" t="inlineStr">
        <is>
          <t>None found</t>
        </is>
      </c>
      <c r="X201" s="2" t="inlineStr">
        <is>
          <t>None found</t>
        </is>
      </c>
      <c r="Y201" s="2" t="inlineStr">
        <is>
          <t>None found</t>
        </is>
      </c>
      <c r="Z201" s="2" t="inlineStr">
        <is>
          <t>Website inquiry; no further process evidence</t>
        </is>
      </c>
      <c r="AA201" s="2" t="inlineStr">
        <is>
          <t>Quote request automation</t>
        </is>
      </c>
      <c r="AB201" s="2" t="inlineStr">
        <is>
          <t>Medium</t>
        </is>
      </c>
      <c r="AC201" s="2" t="inlineStr">
        <is>
          <t>Your website markets solar installation for Multiple locations incl. Cologne.</t>
        </is>
      </c>
      <c r="AD201" s="2" t="inlineStr">
        <is>
          <t>Supports the quote request automation idea: Website inquiry; no further process evidence</t>
        </is>
      </c>
      <c r="AE201" s="2" t="inlineStr">
        <is>
          <t>I noticed your website markets solar installation for Multiple locations incl. Cologne.</t>
        </is>
      </c>
      <c r="AF201" s="2" t="inlineStr">
        <is>
          <t>Quote requests at PV Green</t>
        </is>
      </c>
      <c r="AG201" s="2" t="inlineStr">
        <is>
          <t>Hi PV Green team,
I noticed your website markets solar installation for Multiple locations incl. Cologne.
I work with businesses on AI and workflow automation. For a solar company like PV Green,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1" s="2" t="inlineStr">
        <is>
          <t>https://pvgreen.de/standorte/koeln/</t>
        </is>
      </c>
      <c r="AI201" s="2" t="inlineStr">
        <is>
          <t>URL /standorte/koeln/ indicates multiple locations; 'Dein Meisterbetrieb fuer Photovoltaik'.</t>
        </is>
      </c>
      <c r="AJ201" s="2" t="inlineStr">
        <is>
          <t>Company website</t>
        </is>
      </c>
      <c r="AK201" s="2" t="inlineStr">
        <is>
          <t>Low</t>
        </is>
      </c>
      <c r="AL201" s="2" t="inlineStr">
        <is>
          <t>Reject</t>
        </is>
      </c>
      <c r="AM201" s="2" t="inlineStr">
        <is>
          <t>Not Sent</t>
        </is>
      </c>
      <c r="AN201" s="2" t="n"/>
      <c r="AO201" s="2" t="inlineStr">
        <is>
          <t>Batch 2 | Email not found: search budget exhausted before an email lookup/verification could be run for this company. | No publicly verified business email found.</t>
        </is>
      </c>
    </row>
    <row r="202">
      <c r="A202" s="2" t="inlineStr"/>
      <c r="B202" s="2" t="inlineStr">
        <is>
          <t>Presolaris</t>
        </is>
      </c>
      <c r="C202" s="2" t="inlineStr"/>
      <c r="D202" s="2" t="inlineStr"/>
      <c r="E202" s="2" t="inlineStr"/>
      <c r="F202" s="2" t="inlineStr">
        <is>
          <t>Germany</t>
        </is>
      </c>
      <c r="G202" s="2" t="inlineStr">
        <is>
          <t>Saxony</t>
        </is>
      </c>
      <c r="H202" s="2" t="inlineStr">
        <is>
          <t>Leipzig</t>
        </is>
      </c>
      <c r="I202" s="2" t="inlineStr">
        <is>
          <t>https://leipzig-photovoltaik.de/</t>
        </is>
      </c>
      <c r="J202" s="2" t="inlineStr">
        <is>
          <t>Residential solar installer</t>
        </is>
      </c>
      <c r="K202" s="2" t="inlineStr">
        <is>
          <t>Solar PV, battery storage</t>
        </is>
      </c>
      <c r="L202" s="2" t="inlineStr">
        <is>
          <t>Residential</t>
        </is>
      </c>
      <c r="M202" s="2" t="inlineStr">
        <is>
          <t>Unknown</t>
        </is>
      </c>
      <c r="N202" s="2" t="inlineStr">
        <is>
          <t>Leipzig, Saxony incl. Dresden</t>
        </is>
      </c>
      <c r="O202" s="2" t="inlineStr">
        <is>
          <t>Unknown</t>
        </is>
      </c>
      <c r="P202" s="2" t="inlineStr">
        <is>
          <t>Unknown</t>
        </is>
      </c>
      <c r="Q202" s="2" t="inlineStr">
        <is>
          <t>Unknown</t>
        </is>
      </c>
      <c r="R202" s="2" t="inlineStr">
        <is>
          <t>Unknown</t>
        </is>
      </c>
      <c r="S202" s="2" t="inlineStr">
        <is>
          <t>Unknown</t>
        </is>
      </c>
      <c r="T202" s="2" t="inlineStr">
        <is>
          <t>Unknown</t>
        </is>
      </c>
      <c r="U202" s="2" t="inlineStr">
        <is>
          <t>Unknown</t>
        </is>
      </c>
      <c r="V202" s="2" t="inlineStr">
        <is>
          <t>Website</t>
        </is>
      </c>
      <c r="W202" s="2" t="inlineStr">
        <is>
          <t>None found</t>
        </is>
      </c>
      <c r="X202" s="2" t="inlineStr">
        <is>
          <t>None found</t>
        </is>
      </c>
      <c r="Y202" s="2" t="inlineStr">
        <is>
          <t>None found</t>
        </is>
      </c>
      <c r="Z202" s="2" t="inlineStr">
        <is>
          <t>Website inquiry; no further process evidence</t>
        </is>
      </c>
      <c r="AA202" s="2" t="inlineStr">
        <is>
          <t>Quote request automation</t>
        </is>
      </c>
      <c r="AB202" s="2" t="inlineStr">
        <is>
          <t>High</t>
        </is>
      </c>
      <c r="AC202" s="2" t="inlineStr">
        <is>
          <t>Your website markets solar installation for Leipzig, Saxony incl. Dresden.</t>
        </is>
      </c>
      <c r="AD202" s="2" t="inlineStr">
        <is>
          <t>Supports the quote request automation idea: Website inquiry; no further process evidence</t>
        </is>
      </c>
      <c r="AE202" s="2" t="inlineStr">
        <is>
          <t>I came across Presolaris and noticed your website markets solar installation for Leipzig, Saxony incl. Dresden.</t>
        </is>
      </c>
      <c r="AF202" s="2" t="inlineStr">
        <is>
          <t>A solar quote workflow idea</t>
        </is>
      </c>
      <c r="AG202" s="2" t="inlineStr">
        <is>
          <t>Hi Presolaris team,
I came across Presolaris and noticed your website markets solar installation for Leipzig, Saxony incl. Dresden.
I work with businesses on AI and workflow automation. For a solar company like Presolaris,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2" s="2" t="inlineStr">
        <is>
          <t>https://leipzig-photovoltaik.de/</t>
        </is>
      </c>
      <c r="AI202" s="2" t="inlineStr">
        <is>
          <t>Active since 2002, 2,400+ PV systems (summary); title claims 500+ systems; Dresden location page.</t>
        </is>
      </c>
      <c r="AJ202" s="2" t="inlineStr">
        <is>
          <t>Company website</t>
        </is>
      </c>
      <c r="AK202" s="2" t="inlineStr">
        <is>
          <t>Low</t>
        </is>
      </c>
      <c r="AL202" s="2" t="inlineStr">
        <is>
          <t>Reject</t>
        </is>
      </c>
      <c r="AM202" s="2" t="inlineStr">
        <is>
          <t>Not Sent</t>
        </is>
      </c>
      <c r="AN202" s="2" t="n"/>
      <c r="AO202" s="2" t="inlineStr">
        <is>
          <t>Batch 3 | Email not found: search budget exhausted before an email lookup/verification could be run for this company. Install counts are from summary/page title. | No publicly verified business email found.</t>
        </is>
      </c>
    </row>
    <row r="203">
      <c r="A203" s="2" t="inlineStr"/>
      <c r="B203" s="2" t="inlineStr">
        <is>
          <t>Krasniqi Solar</t>
        </is>
      </c>
      <c r="C203" s="2" t="inlineStr"/>
      <c r="D203" s="2" t="inlineStr"/>
      <c r="E203" s="2" t="inlineStr"/>
      <c r="F203" s="2" t="inlineStr">
        <is>
          <t>Germany</t>
        </is>
      </c>
      <c r="G203" s="2" t="inlineStr">
        <is>
          <t>Saxony</t>
        </is>
      </c>
      <c r="H203" s="2" t="inlineStr"/>
      <c r="I203" s="2" t="inlineStr">
        <is>
          <t>https://krasniqi-solar.de/</t>
        </is>
      </c>
      <c r="J203" s="2" t="inlineStr">
        <is>
          <t>Residential solar installer</t>
        </is>
      </c>
      <c r="K203" s="2" t="inlineStr">
        <is>
          <t>Solar PV</t>
        </is>
      </c>
      <c r="L203" s="2" t="inlineStr">
        <is>
          <t>Residential</t>
        </is>
      </c>
      <c r="M203" s="2" t="inlineStr">
        <is>
          <t>Unknown</t>
        </is>
      </c>
      <c r="N203" s="2" t="inlineStr">
        <is>
          <t>Leipzig</t>
        </is>
      </c>
      <c r="O203" s="2" t="inlineStr">
        <is>
          <t>Unknown</t>
        </is>
      </c>
      <c r="P203" s="2" t="inlineStr">
        <is>
          <t>Unknown</t>
        </is>
      </c>
      <c r="Q203" s="2" t="inlineStr">
        <is>
          <t>Unknown</t>
        </is>
      </c>
      <c r="R203" s="2" t="inlineStr">
        <is>
          <t>Unknown</t>
        </is>
      </c>
      <c r="S203" s="2" t="inlineStr">
        <is>
          <t>Unknown</t>
        </is>
      </c>
      <c r="T203" s="2" t="inlineStr">
        <is>
          <t>Unknown</t>
        </is>
      </c>
      <c r="U203" s="2" t="inlineStr">
        <is>
          <t>Unknown</t>
        </is>
      </c>
      <c r="V203" s="2" t="inlineStr">
        <is>
          <t>Website</t>
        </is>
      </c>
      <c r="W203" s="2" t="inlineStr">
        <is>
          <t>None found</t>
        </is>
      </c>
      <c r="X203" s="2" t="inlineStr">
        <is>
          <t>None found</t>
        </is>
      </c>
      <c r="Y203" s="2" t="inlineStr">
        <is>
          <t>None found</t>
        </is>
      </c>
      <c r="Z203" s="2" t="inlineStr">
        <is>
          <t>Website inquiry; no further process evidence</t>
        </is>
      </c>
      <c r="AA203" s="2" t="inlineStr">
        <is>
          <t>Quote request automation</t>
        </is>
      </c>
      <c r="AB203" s="2" t="inlineStr">
        <is>
          <t>Medium</t>
        </is>
      </c>
      <c r="AC203" s="2" t="inlineStr">
        <is>
          <t>Your website markets solar installation for Leipzig.</t>
        </is>
      </c>
      <c r="AD203" s="2" t="inlineStr">
        <is>
          <t>Supports the quote request automation idea: Website inquiry; no further process evidence</t>
        </is>
      </c>
      <c r="AE203" s="2" t="inlineStr">
        <is>
          <t>I noticed your website markets solar installation for Leipzig.</t>
        </is>
      </c>
      <c r="AF203" s="2" t="inlineStr">
        <is>
          <t>Quote requests at Krasniqi Solar</t>
        </is>
      </c>
      <c r="AG203" s="2" t="inlineStr">
        <is>
          <t>Hi Krasniqi Solar team,
I noticed your website markets solar installation for Leipzig.
I work with businesses on AI and workflow automation. For a solar company like Krasniqi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3" s="2" t="inlineStr">
        <is>
          <t>https://krasniqi-solar.de/photovoltaik-leipzig/</t>
        </is>
      </c>
      <c r="AI203" s="2" t="inlineStr">
        <is>
          <t>Page 'Photovoltaik Leipzig - Jetzt Angebot einholen'; summary claims 25,000 installations (unverified).</t>
        </is>
      </c>
      <c r="AJ203" s="2" t="inlineStr">
        <is>
          <t>Company website</t>
        </is>
      </c>
      <c r="AK203" s="2" t="inlineStr">
        <is>
          <t>Low</t>
        </is>
      </c>
      <c r="AL203" s="2" t="inlineStr">
        <is>
          <t>Reject</t>
        </is>
      </c>
      <c r="AM203" s="2" t="inlineStr">
        <is>
          <t>Not Sent</t>
        </is>
      </c>
      <c r="AN203" s="2" t="n"/>
      <c r="AO203" s="2" t="inlineStr">
        <is>
          <t>Batch 3 | Email not found: search budget exhausted before an email lookup/verification could be run for this company. | No publicly verified business email found.</t>
        </is>
      </c>
    </row>
    <row r="204">
      <c r="A204" s="2" t="inlineStr"/>
      <c r="B204" s="2" t="inlineStr">
        <is>
          <t>Solarom</t>
        </is>
      </c>
      <c r="C204" s="2" t="inlineStr"/>
      <c r="D204" s="2" t="inlineStr"/>
      <c r="E204" s="2" t="inlineStr"/>
      <c r="F204" s="2" t="inlineStr">
        <is>
          <t>Germany</t>
        </is>
      </c>
      <c r="G204" s="2" t="inlineStr">
        <is>
          <t>Baden-Wuerttemberg</t>
        </is>
      </c>
      <c r="H204" s="2" t="inlineStr">
        <is>
          <t>Ludwigsburg</t>
        </is>
      </c>
      <c r="I204" s="2" t="inlineStr">
        <is>
          <t>https://solarom.de/</t>
        </is>
      </c>
      <c r="J204" s="2" t="inlineStr">
        <is>
          <t>Residential solar installer</t>
        </is>
      </c>
      <c r="K204" s="2" t="inlineStr">
        <is>
          <t>Solar PV</t>
        </is>
      </c>
      <c r="L204" s="2" t="inlineStr">
        <is>
          <t>Residential</t>
        </is>
      </c>
      <c r="M204" s="2" t="inlineStr">
        <is>
          <t>Unknown</t>
        </is>
      </c>
      <c r="N204" s="2" t="inlineStr">
        <is>
          <t>Stuttgart area</t>
        </is>
      </c>
      <c r="O204" s="2" t="inlineStr">
        <is>
          <t>Unknown</t>
        </is>
      </c>
      <c r="P204" s="2" t="inlineStr">
        <is>
          <t>Unknown</t>
        </is>
      </c>
      <c r="Q204" s="2" t="inlineStr">
        <is>
          <t>Unknown</t>
        </is>
      </c>
      <c r="R204" s="2" t="inlineStr">
        <is>
          <t>Unknown</t>
        </is>
      </c>
      <c r="S204" s="2" t="inlineStr">
        <is>
          <t>Unknown</t>
        </is>
      </c>
      <c r="T204" s="2" t="inlineStr">
        <is>
          <t>Unknown</t>
        </is>
      </c>
      <c r="U204" s="2" t="inlineStr">
        <is>
          <t>Unknown</t>
        </is>
      </c>
      <c r="V204" s="2" t="inlineStr">
        <is>
          <t>Website</t>
        </is>
      </c>
      <c r="W204" s="2" t="inlineStr">
        <is>
          <t>None found</t>
        </is>
      </c>
      <c r="X204" s="2" t="inlineStr">
        <is>
          <t>None found</t>
        </is>
      </c>
      <c r="Y204" s="2" t="inlineStr">
        <is>
          <t>None found</t>
        </is>
      </c>
      <c r="Z204" s="2" t="inlineStr">
        <is>
          <t>Website inquiry; no further process evidence</t>
        </is>
      </c>
      <c r="AA204" s="2" t="inlineStr">
        <is>
          <t>Quote request automation</t>
        </is>
      </c>
      <c r="AB204" s="2" t="inlineStr">
        <is>
          <t>Medium</t>
        </is>
      </c>
      <c r="AC204" s="2" t="inlineStr">
        <is>
          <t>Your website markets solar installation for Stuttgart area.</t>
        </is>
      </c>
      <c r="AD204" s="2" t="inlineStr">
        <is>
          <t>Supports the quote request automation idea: Website inquiry; no further process evidence</t>
        </is>
      </c>
      <c r="AE204" s="2" t="inlineStr">
        <is>
          <t>I noticed your website markets solar installation for Stuttgart area.</t>
        </is>
      </c>
      <c r="AF204" s="2" t="inlineStr">
        <is>
          <t>A solar quote workflow idea</t>
        </is>
      </c>
      <c r="AG204" s="2" t="inlineStr">
        <is>
          <t>Hi Solarom team,
I noticed your website markets solar installation for Stuttgart area.
I work with businesses on AI and workflow automation. For a solar company like Solarom,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4" s="2" t="inlineStr">
        <is>
          <t>https://solarom.de/</t>
        </is>
      </c>
      <c r="AI204" s="2" t="inlineStr">
        <is>
          <t>Title 'Photovoltaik Stuttgart - Jetzt Angebot einholen!'; 300+ projects, 7+ years (summary).</t>
        </is>
      </c>
      <c r="AJ204" s="2" t="inlineStr">
        <is>
          <t>Company website</t>
        </is>
      </c>
      <c r="AK204" s="2" t="inlineStr">
        <is>
          <t>Low</t>
        </is>
      </c>
      <c r="AL204" s="2" t="inlineStr">
        <is>
          <t>Reject</t>
        </is>
      </c>
      <c r="AM204" s="2" t="inlineStr">
        <is>
          <t>Not Sent</t>
        </is>
      </c>
      <c r="AN204" s="2" t="n"/>
      <c r="AO204" s="2" t="inlineStr">
        <is>
          <t>Batch 3 | Email not found: search budget exhausted before an email lookup/verification could be run for this company. | No publicly verified business email found.</t>
        </is>
      </c>
    </row>
    <row r="205">
      <c r="A205" s="2" t="inlineStr"/>
      <c r="B205" s="2" t="inlineStr">
        <is>
          <t>WIDMANN Energietechnik GmbH</t>
        </is>
      </c>
      <c r="C205" s="2" t="inlineStr"/>
      <c r="D205" s="2" t="inlineStr"/>
      <c r="E205" s="2" t="inlineStr"/>
      <c r="F205" s="2" t="inlineStr">
        <is>
          <t>Germany</t>
        </is>
      </c>
      <c r="G205" s="2" t="inlineStr">
        <is>
          <t>Baden-Wuerttemberg</t>
        </is>
      </c>
      <c r="H205" s="2" t="inlineStr"/>
      <c r="I205" s="2" t="inlineStr">
        <is>
          <t>https://widmann-energietechnik.de/photovoltaik-stuttgart</t>
        </is>
      </c>
      <c r="J205" s="2" t="inlineStr">
        <is>
          <t>Residential solar installer</t>
        </is>
      </c>
      <c r="K205" s="2" t="inlineStr">
        <is>
          <t>Solar PV</t>
        </is>
      </c>
      <c r="L205" s="2" t="inlineStr">
        <is>
          <t>Residential</t>
        </is>
      </c>
      <c r="M205" s="2" t="inlineStr">
        <is>
          <t>Unknown</t>
        </is>
      </c>
      <c r="N205" s="2" t="inlineStr">
        <is>
          <t>Stuttgart area</t>
        </is>
      </c>
      <c r="O205" s="2" t="inlineStr">
        <is>
          <t>Unknown</t>
        </is>
      </c>
      <c r="P205" s="2" t="inlineStr">
        <is>
          <t>Unknown</t>
        </is>
      </c>
      <c r="Q205" s="2" t="inlineStr">
        <is>
          <t>Unknown</t>
        </is>
      </c>
      <c r="R205" s="2" t="inlineStr">
        <is>
          <t>Unknown</t>
        </is>
      </c>
      <c r="S205" s="2" t="inlineStr">
        <is>
          <t>Unknown</t>
        </is>
      </c>
      <c r="T205" s="2" t="inlineStr">
        <is>
          <t>Unknown</t>
        </is>
      </c>
      <c r="U205" s="2" t="inlineStr">
        <is>
          <t>Unknown</t>
        </is>
      </c>
      <c r="V205" s="2" t="inlineStr">
        <is>
          <t>Website</t>
        </is>
      </c>
      <c r="W205" s="2" t="inlineStr">
        <is>
          <t>None found</t>
        </is>
      </c>
      <c r="X205" s="2" t="inlineStr">
        <is>
          <t>None found</t>
        </is>
      </c>
      <c r="Y205" s="2" t="inlineStr">
        <is>
          <t>None found</t>
        </is>
      </c>
      <c r="Z205" s="2" t="inlineStr">
        <is>
          <t>Website inquiry; no further process evidence</t>
        </is>
      </c>
      <c r="AA205" s="2" t="inlineStr">
        <is>
          <t>Quote request automation</t>
        </is>
      </c>
      <c r="AB205" s="2" t="inlineStr">
        <is>
          <t>Low</t>
        </is>
      </c>
      <c r="AC205" s="2" t="inlineStr">
        <is>
          <t>Your website markets solar installation for Stuttgart area.</t>
        </is>
      </c>
      <c r="AD205" s="2" t="inlineStr">
        <is>
          <t>Supports the quote request automation idea: Website inquiry; no further process evidence</t>
        </is>
      </c>
      <c r="AE205" s="2" t="inlineStr">
        <is>
          <t>I came across WIDMANN Energietechnik GmbH and noticed your website markets solar installation for Stuttgart area.</t>
        </is>
      </c>
      <c r="AF205" s="2" t="inlineStr">
        <is>
          <t>Quote requests at WIDMANN Energietechnik GmbH</t>
        </is>
      </c>
      <c r="AG205" s="2" t="inlineStr">
        <is>
          <t>Hi WIDMANN Energietechnik GmbH team,
I came across WIDMANN Energietechnik GmbH and noticed your website markets solar installation for Stuttgart area.
I work with businesses on AI and workflow automation. For a solar company like WIDMANN Energietechnik GmbH,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5" s="2" t="inlineStr">
        <is>
          <t>https://widmann-energietechnik.de/photovoltaik-stuttgart</t>
        </is>
      </c>
      <c r="AI205" s="2" t="inlineStr">
        <is>
          <t>Page 'Photovoltaik Stuttgart'.</t>
        </is>
      </c>
      <c r="AJ205" s="2" t="inlineStr">
        <is>
          <t>Company website</t>
        </is>
      </c>
      <c r="AK205" s="2" t="inlineStr">
        <is>
          <t>Low</t>
        </is>
      </c>
      <c r="AL205" s="2" t="inlineStr">
        <is>
          <t>Reject</t>
        </is>
      </c>
      <c r="AM205" s="2" t="inlineStr">
        <is>
          <t>Not Sent</t>
        </is>
      </c>
      <c r="AN205" s="2" t="n"/>
      <c r="AO205" s="2" t="inlineStr">
        <is>
          <t>Batch 3 | Email not found: search budget exhausted before an email lookup/verification could be run for this company. | No publicly verified business email found.</t>
        </is>
      </c>
    </row>
    <row r="206">
      <c r="A206" s="2" t="inlineStr"/>
      <c r="B206" s="2" t="inlineStr">
        <is>
          <t>Bechtold Solar</t>
        </is>
      </c>
      <c r="C206" s="2" t="inlineStr"/>
      <c r="D206" s="2" t="inlineStr"/>
      <c r="E206" s="2" t="inlineStr"/>
      <c r="F206" s="2" t="inlineStr">
        <is>
          <t>Germany</t>
        </is>
      </c>
      <c r="G206" s="2" t="inlineStr">
        <is>
          <t>Baden-Wuerttemberg</t>
        </is>
      </c>
      <c r="H206" s="2" t="inlineStr"/>
      <c r="I206" s="2" t="inlineStr">
        <is>
          <t>https://bechtold-solaranlagen.de/</t>
        </is>
      </c>
      <c r="J206" s="2" t="inlineStr">
        <is>
          <t>Solar &amp; battery installer</t>
        </is>
      </c>
      <c r="K206" s="2" t="inlineStr">
        <is>
          <t>Solar PV, Powerwall storage</t>
        </is>
      </c>
      <c r="L206" s="2" t="inlineStr">
        <is>
          <t>Residential</t>
        </is>
      </c>
      <c r="M206" s="2" t="inlineStr">
        <is>
          <t>Unknown</t>
        </is>
      </c>
      <c r="N206" s="2" t="inlineStr">
        <is>
          <t>Stuttgart and other cities</t>
        </is>
      </c>
      <c r="O206" s="2" t="inlineStr">
        <is>
          <t>Unknown</t>
        </is>
      </c>
      <c r="P206" s="2" t="inlineStr">
        <is>
          <t>Unknown</t>
        </is>
      </c>
      <c r="Q206" s="2" t="inlineStr">
        <is>
          <t>Unknown</t>
        </is>
      </c>
      <c r="R206" s="2" t="inlineStr">
        <is>
          <t>Unknown</t>
        </is>
      </c>
      <c r="S206" s="2" t="inlineStr">
        <is>
          <t>Unknown</t>
        </is>
      </c>
      <c r="T206" s="2" t="inlineStr">
        <is>
          <t>Unknown</t>
        </is>
      </c>
      <c r="U206" s="2" t="inlineStr">
        <is>
          <t>Unknown</t>
        </is>
      </c>
      <c r="V206" s="2" t="inlineStr">
        <is>
          <t>Website</t>
        </is>
      </c>
      <c r="W206" s="2" t="inlineStr">
        <is>
          <t>None found</t>
        </is>
      </c>
      <c r="X206" s="2" t="inlineStr">
        <is>
          <t>None found</t>
        </is>
      </c>
      <c r="Y206" s="2" t="inlineStr">
        <is>
          <t>None found</t>
        </is>
      </c>
      <c r="Z206" s="2" t="inlineStr">
        <is>
          <t>Website inquiry; no further process evidence</t>
        </is>
      </c>
      <c r="AA206" s="2" t="inlineStr">
        <is>
          <t>Quote request automation</t>
        </is>
      </c>
      <c r="AB206" s="2" t="inlineStr">
        <is>
          <t>Medium</t>
        </is>
      </c>
      <c r="AC206" s="2" t="inlineStr">
        <is>
          <t>Your website markets solar installation for Stuttgart and other cities.</t>
        </is>
      </c>
      <c r="AD206" s="2" t="inlineStr">
        <is>
          <t>Supports the quote request automation idea: Website inquiry; no further process evidence</t>
        </is>
      </c>
      <c r="AE206" s="2" t="inlineStr">
        <is>
          <t>I noticed your website markets solar installation for Stuttgart and other cities.</t>
        </is>
      </c>
      <c r="AF206" s="2" t="inlineStr">
        <is>
          <t>A solar quote workflow idea</t>
        </is>
      </c>
      <c r="AG206" s="2" t="inlineStr">
        <is>
          <t>Hi Bechtold Solar team,
I noticed your website markets solar installation for Stuttgart and other cities.
I work with businesses on AI and workflow automation. For a solar company like Bechtold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6" s="2" t="inlineStr">
        <is>
          <t>https://bechtold-solaranlagen.de/stuttgart/</t>
        </is>
      </c>
      <c r="AI206" s="2" t="inlineStr">
        <is>
          <t>City page /stuttgart/; title mentions Powerwall.</t>
        </is>
      </c>
      <c r="AJ206" s="2" t="inlineStr">
        <is>
          <t>Company website</t>
        </is>
      </c>
      <c r="AK206" s="2" t="inlineStr">
        <is>
          <t>Low</t>
        </is>
      </c>
      <c r="AL206" s="2" t="inlineStr">
        <is>
          <t>Reject</t>
        </is>
      </c>
      <c r="AM206" s="2" t="inlineStr">
        <is>
          <t>Not Sent</t>
        </is>
      </c>
      <c r="AN206" s="2" t="n"/>
      <c r="AO206" s="2" t="inlineStr">
        <is>
          <t>Batch 3 | Email not found: search budget exhausted before an email lookup/verification could be run for this company. | No publicly verified business email found.</t>
        </is>
      </c>
    </row>
    <row r="207">
      <c r="A207" s="2" t="inlineStr"/>
      <c r="B207" s="2" t="inlineStr">
        <is>
          <t>Fuchs Solar</t>
        </is>
      </c>
      <c r="C207" s="2" t="inlineStr"/>
      <c r="D207" s="2" t="inlineStr"/>
      <c r="E207" s="2" t="inlineStr"/>
      <c r="F207" s="2" t="inlineStr">
        <is>
          <t>Germany</t>
        </is>
      </c>
      <c r="G207" s="2" t="inlineStr">
        <is>
          <t>Baden-Wuerttemberg</t>
        </is>
      </c>
      <c r="H207" s="2" t="inlineStr"/>
      <c r="I207" s="2" t="inlineStr">
        <is>
          <t>https://www.fuchs.solar/</t>
        </is>
      </c>
      <c r="J207" s="2" t="inlineStr">
        <is>
          <t>Residential solar installer</t>
        </is>
      </c>
      <c r="K207" s="2" t="inlineStr">
        <is>
          <t>Solar PV, meter cabinet work</t>
        </is>
      </c>
      <c r="L207" s="2" t="inlineStr">
        <is>
          <t>Residential</t>
        </is>
      </c>
      <c r="M207" s="2" t="inlineStr">
        <is>
          <t>Unknown</t>
        </is>
      </c>
      <c r="N207" s="2" t="inlineStr">
        <is>
          <t>Stuttgart</t>
        </is>
      </c>
      <c r="O207" s="2" t="inlineStr">
        <is>
          <t>Unknown</t>
        </is>
      </c>
      <c r="P207" s="2" t="inlineStr">
        <is>
          <t>Unknown</t>
        </is>
      </c>
      <c r="Q207" s="2" t="inlineStr">
        <is>
          <t>Unknown</t>
        </is>
      </c>
      <c r="R207" s="2" t="inlineStr">
        <is>
          <t>Unknown</t>
        </is>
      </c>
      <c r="S207" s="2" t="inlineStr">
        <is>
          <t>Unknown</t>
        </is>
      </c>
      <c r="T207" s="2" t="inlineStr">
        <is>
          <t>Unknown</t>
        </is>
      </c>
      <c r="U207" s="2" t="inlineStr">
        <is>
          <t>Unknown</t>
        </is>
      </c>
      <c r="V207" s="2" t="inlineStr">
        <is>
          <t>Website</t>
        </is>
      </c>
      <c r="W207" s="2" t="inlineStr">
        <is>
          <t>None found</t>
        </is>
      </c>
      <c r="X207" s="2" t="inlineStr">
        <is>
          <t>None found</t>
        </is>
      </c>
      <c r="Y207" s="2" t="inlineStr">
        <is>
          <t>None found</t>
        </is>
      </c>
      <c r="Z207" s="2" t="inlineStr">
        <is>
          <t>Website inquiry; no further process evidence</t>
        </is>
      </c>
      <c r="AA207" s="2" t="inlineStr">
        <is>
          <t>Quote request automation</t>
        </is>
      </c>
      <c r="AB207" s="2" t="inlineStr">
        <is>
          <t>Low</t>
        </is>
      </c>
      <c r="AC207" s="2" t="inlineStr">
        <is>
          <t>Your website markets solar installation for Stuttgart.</t>
        </is>
      </c>
      <c r="AD207" s="2" t="inlineStr">
        <is>
          <t>Supports the quote request automation idea: Website inquiry; no further process evidence</t>
        </is>
      </c>
      <c r="AE207" s="2" t="inlineStr">
        <is>
          <t>I noticed your website markets solar installation for Stuttgart.</t>
        </is>
      </c>
      <c r="AF207" s="2" t="inlineStr">
        <is>
          <t>Quote requests at Fuchs Solar</t>
        </is>
      </c>
      <c r="AG207" s="2" t="inlineStr">
        <is>
          <t>Hi Fuchs Solar team,
I noticed your website markets solar installation for Stuttgart.
I work with businesses on AI and workflow automation. For a solar company like Fuchs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7" s="2" t="inlineStr">
        <is>
          <t>https://www.fuchs.solar/photovoltaik-stuttgart/</t>
        </is>
      </c>
      <c r="AI207" s="2" t="inlineStr">
        <is>
          <t>Page 'Photovoltaik Stuttgart | Fuchs Solar | Alles aus einer Hand'.</t>
        </is>
      </c>
      <c r="AJ207" s="2" t="inlineStr">
        <is>
          <t>Company website</t>
        </is>
      </c>
      <c r="AK207" s="2" t="inlineStr">
        <is>
          <t>Low</t>
        </is>
      </c>
      <c r="AL207" s="2" t="inlineStr">
        <is>
          <t>Reject</t>
        </is>
      </c>
      <c r="AM207" s="2" t="inlineStr">
        <is>
          <t>Not Sent</t>
        </is>
      </c>
      <c r="AN207" s="2" t="n"/>
      <c r="AO207" s="2" t="inlineStr">
        <is>
          <t>Batch 3 | Email not found: search budget exhausted before an email lookup/verification could be run for this company. | No publicly verified business email found.</t>
        </is>
      </c>
    </row>
    <row r="208">
      <c r="A208" s="2" t="inlineStr"/>
      <c r="B208" s="2" t="inlineStr">
        <is>
          <t>Biber Photovoltaik GmbH</t>
        </is>
      </c>
      <c r="C208" s="2" t="inlineStr"/>
      <c r="D208" s="2" t="inlineStr"/>
      <c r="E208" s="2" t="inlineStr"/>
      <c r="F208" s="2" t="inlineStr">
        <is>
          <t>Germany</t>
        </is>
      </c>
      <c r="G208" s="2" t="inlineStr">
        <is>
          <t>Lower Saxony</t>
        </is>
      </c>
      <c r="H208" s="2" t="inlineStr"/>
      <c r="I208" s="2" t="inlineStr">
        <is>
          <t>https://biber-pv.de/</t>
        </is>
      </c>
      <c r="J208" s="2" t="inlineStr">
        <is>
          <t>Residential solar installer</t>
        </is>
      </c>
      <c r="K208" s="2" t="inlineStr">
        <is>
          <t>Solar PV</t>
        </is>
      </c>
      <c r="L208" s="2" t="inlineStr">
        <is>
          <t>Residential</t>
        </is>
      </c>
      <c r="M208" s="2" t="inlineStr">
        <is>
          <t>Unknown</t>
        </is>
      </c>
      <c r="N208" s="2" t="inlineStr">
        <is>
          <t>Multiple locations incl. Hannover</t>
        </is>
      </c>
      <c r="O208" s="2" t="inlineStr">
        <is>
          <t>Unknown</t>
        </is>
      </c>
      <c r="P208" s="2" t="inlineStr">
        <is>
          <t>Unknown</t>
        </is>
      </c>
      <c r="Q208" s="2" t="inlineStr">
        <is>
          <t>Unknown</t>
        </is>
      </c>
      <c r="R208" s="2" t="inlineStr">
        <is>
          <t>Unknown</t>
        </is>
      </c>
      <c r="S208" s="2" t="inlineStr">
        <is>
          <t>Unknown</t>
        </is>
      </c>
      <c r="T208" s="2" t="inlineStr">
        <is>
          <t>Unknown</t>
        </is>
      </c>
      <c r="U208" s="2" t="inlineStr">
        <is>
          <t>Unknown</t>
        </is>
      </c>
      <c r="V208" s="2" t="inlineStr">
        <is>
          <t>Website</t>
        </is>
      </c>
      <c r="W208" s="2" t="inlineStr">
        <is>
          <t>None found</t>
        </is>
      </c>
      <c r="X208" s="2" t="inlineStr">
        <is>
          <t>None found</t>
        </is>
      </c>
      <c r="Y208" s="2" t="inlineStr">
        <is>
          <t>None found</t>
        </is>
      </c>
      <c r="Z208" s="2" t="inlineStr">
        <is>
          <t>Website inquiry; no further process evidence</t>
        </is>
      </c>
      <c r="AA208" s="2" t="inlineStr">
        <is>
          <t>Quote request automation</t>
        </is>
      </c>
      <c r="AB208" s="2" t="inlineStr">
        <is>
          <t>Medium</t>
        </is>
      </c>
      <c r="AC208" s="2" t="inlineStr">
        <is>
          <t>Your website markets solar installation for Multiple locations incl. Hannover.</t>
        </is>
      </c>
      <c r="AD208" s="2" t="inlineStr">
        <is>
          <t>Supports the quote request automation idea: Website inquiry; no further process evidence</t>
        </is>
      </c>
      <c r="AE208" s="2" t="inlineStr">
        <is>
          <t>I came across Biber Photovoltaik GmbH and noticed your website markets solar installation for Multiple locations incl. Hannover.</t>
        </is>
      </c>
      <c r="AF208" s="2" t="inlineStr">
        <is>
          <t>A solar quote workflow idea</t>
        </is>
      </c>
      <c r="AG208" s="2" t="inlineStr">
        <is>
          <t>Hi Biber Photovoltaik GmbH team,
I came across Biber Photovoltaik GmbH and noticed your website markets solar installation for Multiple locations incl. Hannover.
I work with businesses on AI and workflow automation. For a solar company like Biber Photovoltaik GmbH,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8" s="2" t="inlineStr">
        <is>
          <t>https://biber-pv.de/standorte/hannover</t>
        </is>
      </c>
      <c r="AI208" s="2" t="inlineStr">
        <is>
          <t>URL /standorte/hannover indicates multiple locations; free consultation (summary).</t>
        </is>
      </c>
      <c r="AJ208" s="2" t="inlineStr">
        <is>
          <t>Company website</t>
        </is>
      </c>
      <c r="AK208" s="2" t="inlineStr">
        <is>
          <t>Low</t>
        </is>
      </c>
      <c r="AL208" s="2" t="inlineStr">
        <is>
          <t>Reject</t>
        </is>
      </c>
      <c r="AM208" s="2" t="inlineStr">
        <is>
          <t>Not Sent</t>
        </is>
      </c>
      <c r="AN208" s="2" t="n"/>
      <c r="AO208" s="2" t="inlineStr">
        <is>
          <t>Batch 3 | Email not found: search budget exhausted before an email lookup/verification could be run for this company. | No publicly verified business email found.</t>
        </is>
      </c>
    </row>
    <row r="209">
      <c r="A209" s="2" t="inlineStr"/>
      <c r="B209" s="2" t="inlineStr">
        <is>
          <t>InOL Energie</t>
        </is>
      </c>
      <c r="C209" s="2" t="inlineStr"/>
      <c r="D209" s="2" t="inlineStr"/>
      <c r="E209" s="2" t="inlineStr"/>
      <c r="F209" s="2" t="inlineStr">
        <is>
          <t>Germany</t>
        </is>
      </c>
      <c r="G209" s="2" t="inlineStr">
        <is>
          <t>Lower Saxony</t>
        </is>
      </c>
      <c r="H209" s="2" t="inlineStr"/>
      <c r="I209" s="2" t="inlineStr">
        <is>
          <t>https://inol-energie.de/</t>
        </is>
      </c>
      <c r="J209" s="2" t="inlineStr">
        <is>
          <t>Residential solar installer</t>
        </is>
      </c>
      <c r="K209" s="2" t="inlineStr">
        <is>
          <t>Solar PV, maintenance</t>
        </is>
      </c>
      <c r="L209" s="2" t="inlineStr">
        <is>
          <t>Residential</t>
        </is>
      </c>
      <c r="M209" s="2" t="inlineStr">
        <is>
          <t>Unknown</t>
        </is>
      </c>
      <c r="N209" s="2" t="inlineStr">
        <is>
          <t>Hannover region</t>
        </is>
      </c>
      <c r="O209" s="2" t="inlineStr">
        <is>
          <t>Unknown</t>
        </is>
      </c>
      <c r="P209" s="2" t="inlineStr">
        <is>
          <t>Unknown</t>
        </is>
      </c>
      <c r="Q209" s="2" t="inlineStr">
        <is>
          <t>Unknown</t>
        </is>
      </c>
      <c r="R209" s="2" t="inlineStr">
        <is>
          <t>Unknown</t>
        </is>
      </c>
      <c r="S209" s="2" t="inlineStr">
        <is>
          <t>Unknown</t>
        </is>
      </c>
      <c r="T209" s="2" t="inlineStr">
        <is>
          <t>Unknown</t>
        </is>
      </c>
      <c r="U209" s="2" t="inlineStr">
        <is>
          <t>Unknown</t>
        </is>
      </c>
      <c r="V209" s="2" t="inlineStr">
        <is>
          <t>Website</t>
        </is>
      </c>
      <c r="W209" s="2" t="inlineStr">
        <is>
          <t>None found</t>
        </is>
      </c>
      <c r="X209" s="2" t="inlineStr">
        <is>
          <t>None found</t>
        </is>
      </c>
      <c r="Y209" s="2" t="inlineStr">
        <is>
          <t>None found</t>
        </is>
      </c>
      <c r="Z209" s="2" t="inlineStr">
        <is>
          <t>Website inquiry; no further process evidence</t>
        </is>
      </c>
      <c r="AA209" s="2" t="inlineStr">
        <is>
          <t>Quote request automation</t>
        </is>
      </c>
      <c r="AB209" s="2" t="inlineStr">
        <is>
          <t>Low</t>
        </is>
      </c>
      <c r="AC209" s="2" t="inlineStr">
        <is>
          <t>Your website markets solar installation for Hannover region.</t>
        </is>
      </c>
      <c r="AD209" s="2" t="inlineStr">
        <is>
          <t>Supports the quote request automation idea: Website inquiry; no further process evidence</t>
        </is>
      </c>
      <c r="AE209" s="2" t="inlineStr">
        <is>
          <t>I noticed your website markets solar installation for Hannover region.</t>
        </is>
      </c>
      <c r="AF209" s="2" t="inlineStr">
        <is>
          <t>Quote requests at InOL Energie</t>
        </is>
      </c>
      <c r="AG209" s="2" t="inlineStr">
        <is>
          <t>Hi InOL Energie team,
I noticed your website markets solar installation for Hannover region.
I work with businesses on AI and workflow automation. For a solar company like InOL Energie,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09" s="2" t="inlineStr">
        <is>
          <t>https://inol-energie.de/photovoltaik-hannover/</t>
        </is>
      </c>
      <c r="AI209" s="2" t="inlineStr">
        <is>
          <t>Page 'Photovoltaik Hannover'; consultation, planning, installation, maintenance (summary).</t>
        </is>
      </c>
      <c r="AJ209" s="2" t="inlineStr">
        <is>
          <t>Company website</t>
        </is>
      </c>
      <c r="AK209" s="2" t="inlineStr">
        <is>
          <t>Low</t>
        </is>
      </c>
      <c r="AL209" s="2" t="inlineStr">
        <is>
          <t>Reject</t>
        </is>
      </c>
      <c r="AM209" s="2" t="inlineStr">
        <is>
          <t>Not Sent</t>
        </is>
      </c>
      <c r="AN209" s="2" t="n"/>
      <c r="AO209" s="2" t="inlineStr">
        <is>
          <t>Batch 3 | Email not found: search budget exhausted before an email lookup/verification could be run for this company. | No publicly verified business email found.</t>
        </is>
      </c>
    </row>
    <row r="210">
      <c r="A210" s="2" t="inlineStr"/>
      <c r="B210" s="2" t="inlineStr">
        <is>
          <t>Photovoltaik Hanse</t>
        </is>
      </c>
      <c r="C210" s="2" t="inlineStr"/>
      <c r="D210" s="2" t="inlineStr"/>
      <c r="E210" s="2" t="inlineStr"/>
      <c r="F210" s="2" t="inlineStr">
        <is>
          <t>Germany</t>
        </is>
      </c>
      <c r="G210" s="2" t="inlineStr">
        <is>
          <t>Hamburg</t>
        </is>
      </c>
      <c r="H210" s="2" t="inlineStr"/>
      <c r="I210" s="2" t="inlineStr">
        <is>
          <t>https://photovoltaik-hanse.de/</t>
        </is>
      </c>
      <c r="J210" s="2" t="inlineStr">
        <is>
          <t>Residential solar installer</t>
        </is>
      </c>
      <c r="K210" s="2" t="inlineStr">
        <is>
          <t>Solar PV</t>
        </is>
      </c>
      <c r="L210" s="2" t="inlineStr">
        <is>
          <t>Residential</t>
        </is>
      </c>
      <c r="M210" s="2" t="inlineStr">
        <is>
          <t>Unknown</t>
        </is>
      </c>
      <c r="N210" s="2" t="inlineStr">
        <is>
          <t>Hamburg area</t>
        </is>
      </c>
      <c r="O210" s="2" t="inlineStr">
        <is>
          <t>Unknown</t>
        </is>
      </c>
      <c r="P210" s="2" t="inlineStr">
        <is>
          <t>Unknown</t>
        </is>
      </c>
      <c r="Q210" s="2" t="inlineStr">
        <is>
          <t>Unknown</t>
        </is>
      </c>
      <c r="R210" s="2" t="inlineStr">
        <is>
          <t>Unknown</t>
        </is>
      </c>
      <c r="S210" s="2" t="inlineStr">
        <is>
          <t>Unknown</t>
        </is>
      </c>
      <c r="T210" s="2" t="inlineStr">
        <is>
          <t>Unknown</t>
        </is>
      </c>
      <c r="U210" s="2" t="inlineStr">
        <is>
          <t>Unknown</t>
        </is>
      </c>
      <c r="V210" s="2" t="inlineStr">
        <is>
          <t>Website</t>
        </is>
      </c>
      <c r="W210" s="2" t="inlineStr">
        <is>
          <t>None found</t>
        </is>
      </c>
      <c r="X210" s="2" t="inlineStr">
        <is>
          <t>None found</t>
        </is>
      </c>
      <c r="Y210" s="2" t="inlineStr">
        <is>
          <t>None found</t>
        </is>
      </c>
      <c r="Z210" s="2" t="inlineStr">
        <is>
          <t>Website inquiry; no further process evidence</t>
        </is>
      </c>
      <c r="AA210" s="2" t="inlineStr">
        <is>
          <t>Quote request automation</t>
        </is>
      </c>
      <c r="AB210" s="2" t="inlineStr">
        <is>
          <t>Low</t>
        </is>
      </c>
      <c r="AC210" s="2" t="inlineStr">
        <is>
          <t>Your website markets solar installation for Hamburg area.</t>
        </is>
      </c>
      <c r="AD210" s="2" t="inlineStr">
        <is>
          <t>Supports the quote request automation idea: Website inquiry; no further process evidence</t>
        </is>
      </c>
      <c r="AE210" s="2" t="inlineStr">
        <is>
          <t>I noticed your website markets solar installation for Hamburg area.</t>
        </is>
      </c>
      <c r="AF210" s="2" t="inlineStr">
        <is>
          <t>A solar quote workflow idea</t>
        </is>
      </c>
      <c r="AG210" s="2" t="inlineStr">
        <is>
          <t>Hi Photovoltaik Hanse team,
I noticed your website markets solar installation for Hamburg area.
I work with businesses on AI and workflow automation. For a solar company like Photovoltaik Hanse,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10" s="2" t="inlineStr">
        <is>
          <t>https://photovoltaik-hanse.de/</t>
        </is>
      </c>
      <c r="AI210" s="2" t="inlineStr">
        <is>
          <t>Title 'Photovoltaik Hamburg - Solaranlage Hamburg - PV-Anlage'.</t>
        </is>
      </c>
      <c r="AJ210" s="2" t="inlineStr">
        <is>
          <t>Company website</t>
        </is>
      </c>
      <c r="AK210" s="2" t="inlineStr">
        <is>
          <t>Low</t>
        </is>
      </c>
      <c r="AL210" s="2" t="inlineStr">
        <is>
          <t>Reject</t>
        </is>
      </c>
      <c r="AM210" s="2" t="inlineStr">
        <is>
          <t>Not Sent</t>
        </is>
      </c>
      <c r="AN210" s="2" t="n"/>
      <c r="AO210" s="2" t="inlineStr">
        <is>
          <t>Batch 3 | Email not found: search budget exhausted before an email lookup/verification could be run for this company. | No publicly verified business email found.</t>
        </is>
      </c>
    </row>
    <row r="211">
      <c r="A211" s="2" t="inlineStr"/>
      <c r="B211" s="2" t="inlineStr">
        <is>
          <t>Technisol Energy</t>
        </is>
      </c>
      <c r="C211" s="2" t="inlineStr"/>
      <c r="D211" s="2" t="inlineStr"/>
      <c r="E211" s="2" t="inlineStr">
        <is>
          <t>info@technisol.nl</t>
        </is>
      </c>
      <c r="F211" s="2" t="inlineStr">
        <is>
          <t>Netherlands</t>
        </is>
      </c>
      <c r="G211" s="2" t="inlineStr">
        <is>
          <t>Gelderland</t>
        </is>
      </c>
      <c r="H211" s="2" t="inlineStr">
        <is>
          <t>Wijchen</t>
        </is>
      </c>
      <c r="I211" s="2" t="inlineStr">
        <is>
          <t>https://technisol-energy.nl/</t>
        </is>
      </c>
      <c r="J211" s="2" t="inlineStr">
        <is>
          <t>Residential &amp; commercial solar installer</t>
        </is>
      </c>
      <c r="K211" s="2" t="inlineStr">
        <is>
          <t>Solar PV, home batteries, home insulation, facade maintenance</t>
        </is>
      </c>
      <c r="L211" s="2" t="inlineStr">
        <is>
          <t>Residential &amp; Commercial</t>
        </is>
      </c>
      <c r="M211" s="2" t="inlineStr">
        <is>
          <t>Unknown</t>
        </is>
      </c>
      <c r="N211" s="2" t="inlineStr">
        <is>
          <t>Netherlands (city pages incl. Den Bosch, Tilburg, Wijchen)</t>
        </is>
      </c>
      <c r="O211" s="2" t="inlineStr">
        <is>
          <t>1 (Wijchen)</t>
        </is>
      </c>
      <c r="P211" s="2" t="inlineStr">
        <is>
          <t>Yes</t>
        </is>
      </c>
      <c r="Q211" s="2" t="inlineStr">
        <is>
          <t>Unknown</t>
        </is>
      </c>
      <c r="R211" s="2" t="inlineStr">
        <is>
          <t>Unknown</t>
        </is>
      </c>
      <c r="S211" s="2" t="inlineStr">
        <is>
          <t>Yes</t>
        </is>
      </c>
      <c r="T211" s="2" t="inlineStr">
        <is>
          <t>Unknown</t>
        </is>
      </c>
      <c r="U211" s="2" t="inlineStr">
        <is>
          <t>Phone + email</t>
        </is>
      </c>
      <c r="V211" s="2" t="inlineStr">
        <is>
          <t>Website quote form; local city landing pages; phone</t>
        </is>
      </c>
      <c r="W211" s="2" t="inlineStr">
        <is>
          <t>None found</t>
        </is>
      </c>
      <c r="X211" s="2" t="inlineStr">
        <is>
          <t>Many city landing pages (Den Bosch, Tilburg, Wijchen); part of Technisol family business (40+ years)</t>
        </is>
      </c>
      <c r="Y211" s="2" t="inlineStr">
        <is>
          <t>None found</t>
        </is>
      </c>
      <c r="Z211" s="2" t="inlineStr">
        <is>
          <t>Online quote form (zonnepanelen-offerte-aanvragen) followed by manual follow-up</t>
        </is>
      </c>
      <c r="AA211" s="2" t="inlineStr">
        <is>
          <t>Quote request automation</t>
        </is>
      </c>
      <c r="AB211" s="2" t="inlineStr">
        <is>
          <t>Medium</t>
        </is>
      </c>
      <c r="AC211" s="2" t="inlineStr">
        <is>
          <t>Your site has a dedicated page where homeowners can request a solar panel quote online.</t>
        </is>
      </c>
      <c r="AD211" s="2" t="inlineStr">
        <is>
          <t>Supports the quote request automation idea: Online quote form (zonnepanelen-offerte-aanvragen) followed by manual follow-up</t>
        </is>
      </c>
      <c r="AE211" s="2" t="inlineStr">
        <is>
          <t>I came across Technisol Energy and noticed your site has a dedicated page where homeowners can request a solar panel quote online.</t>
        </is>
      </c>
      <c r="AF211" s="2" t="inlineStr">
        <is>
          <t>Quote requests at Technisol Energy</t>
        </is>
      </c>
      <c r="AG211" s="2" t="inlineStr">
        <is>
          <t>Hi Technisol Energy team,
I came across Technisol Energy and noticed your site has a dedicated page where homeowners can request a solar panel quote online.
I work with businesses on AI and workflow automation. For a solar company like Technisol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11" s="2" t="inlineStr">
        <is>
          <t>https://technisol-energy.nl/zonnepanelen-offerte-aanvragen/</t>
        </is>
      </c>
      <c r="AI211" s="2" t="inlineStr">
        <is>
          <t>Site has /zonnepanelen-offerte-aanvragen/ page; installs solar panels and home batteries for private and project-based business market; Bijsterhuizen 1011, Wijchen; +31 24 6417303.</t>
        </is>
      </c>
      <c r="AJ211" s="2" t="inlineStr">
        <is>
          <t>Company website (quote page)</t>
        </is>
      </c>
      <c r="AK211" s="2" t="inlineStr">
        <is>
          <t>Medium</t>
        </is>
      </c>
      <c r="AL211" s="2" t="inlineStr">
        <is>
          <t>Review</t>
        </is>
      </c>
      <c r="AM211" s="2" t="inlineStr">
        <is>
          <t>Not Sent</t>
        </is>
      </c>
      <c r="AN211" s="2" t="n"/>
      <c r="AO211" s="2" t="inlineStr">
        <is>
          <t>Batch 3 | Search summary showed info@technisol.nl (group domain) rather than info@technisol-energy.nl; exact-match search for info@technisol.nl returned Technisol Energy contact pages. | Email domain (technisol.nl) differs from website domain (technisol-energy.nl). | Email source: https://technisol-energy.nl/contact/</t>
        </is>
      </c>
    </row>
    <row r="212">
      <c r="A212" s="2" t="inlineStr"/>
      <c r="B212" s="2" t="inlineStr">
        <is>
          <t>Saman Groep B.V.</t>
        </is>
      </c>
      <c r="C212" s="2" t="inlineStr"/>
      <c r="D212" s="2" t="inlineStr"/>
      <c r="E212" s="2" t="inlineStr">
        <is>
          <t>info@samangroep.nl</t>
        </is>
      </c>
      <c r="F212" s="2" t="inlineStr">
        <is>
          <t>Netherlands</t>
        </is>
      </c>
      <c r="G212" s="2" t="inlineStr">
        <is>
          <t>Zeeland</t>
        </is>
      </c>
      <c r="H212" s="2" t="inlineStr">
        <is>
          <t>Zierikzee</t>
        </is>
      </c>
      <c r="I212" s="2" t="inlineStr">
        <is>
          <t>https://www.samangroep.nl/</t>
        </is>
      </c>
      <c r="J212" s="2" t="inlineStr">
        <is>
          <t>Solar &amp; heat pump installer</t>
        </is>
      </c>
      <c r="K212" s="2" t="inlineStr">
        <is>
          <t>Solar PV, heat pumps, sustainable home installations</t>
        </is>
      </c>
      <c r="L212" s="2" t="inlineStr">
        <is>
          <t>Residential</t>
        </is>
      </c>
      <c r="M212" s="2" t="inlineStr">
        <is>
          <t>Unknown</t>
        </is>
      </c>
      <c r="N212" s="2" t="inlineStr">
        <is>
          <t>Netherlands-wide (city pages incl. Utrecht)</t>
        </is>
      </c>
      <c r="O212" s="2" t="inlineStr">
        <is>
          <t>Unknown (Facebook page lists Zierikzee)</t>
        </is>
      </c>
      <c r="P212" s="2" t="inlineStr">
        <is>
          <t>Yes</t>
        </is>
      </c>
      <c r="Q212" s="2" t="inlineStr">
        <is>
          <t>Yes</t>
        </is>
      </c>
      <c r="R212" s="2" t="inlineStr">
        <is>
          <t>Unknown</t>
        </is>
      </c>
      <c r="S212" s="2" t="inlineStr">
        <is>
          <t>Unknown</t>
        </is>
      </c>
      <c r="T212" s="2" t="inlineStr">
        <is>
          <t>Unknown</t>
        </is>
      </c>
      <c r="U212" s="2" t="inlineStr">
        <is>
          <t>Customer service page + help center (help.samangroep.nl)</t>
        </is>
      </c>
      <c r="V212" s="2" t="inlineStr">
        <is>
          <t>Website quote/consultation form; city landing pages; Instagram; Facebook</t>
        </is>
      </c>
      <c r="W212" s="2" t="inlineStr">
        <is>
          <t>None found</t>
        </is>
      </c>
      <c r="X212" s="2" t="inlineStr">
        <is>
          <t>843 Trustpilot reviews per search summary; national city landing pages</t>
        </is>
      </c>
      <c r="Y212" s="2" t="inlineStr">
        <is>
          <t>Free consultation to calculate savings before quote</t>
        </is>
      </c>
      <c r="Z212" s="2" t="inlineStr">
        <is>
          <t>Free consultation booking + quote requests handled by advisors; separate help center</t>
        </is>
      </c>
      <c r="AA212" s="2" t="inlineStr">
        <is>
          <t>Appointment booking automation</t>
        </is>
      </c>
      <c r="AB212" s="2" t="inlineStr">
        <is>
          <t>High</t>
        </is>
      </c>
      <c r="AC212" s="2" t="inlineStr">
        <is>
          <t>Your Utrecht page offers homeowners a free consultation to find out how much they can save with solar panels.</t>
        </is>
      </c>
      <c r="AD212" s="2" t="inlineStr">
        <is>
          <t>Supports the appointment booking automation idea: Free consultation booking + quote requests handled by advisors; separate help center</t>
        </is>
      </c>
      <c r="AE212" s="2" t="inlineStr">
        <is>
          <t>I noticed your Utrecht page offers homeowners a free consultation to find out how much they can save with solar panels.</t>
        </is>
      </c>
      <c r="AF212" s="2" t="inlineStr">
        <is>
          <t>Consultation booking at Saman Groep B.V.</t>
        </is>
      </c>
      <c r="AG212" s="2" t="inlineStr">
        <is>
          <t>Hi Saman Groep B.V. team,
I noticed your Utrecht page offers homeowners a free consultation to find out how much they can save with solar panels.
I work with businesses on AI and workflow automation. For a solar company like Saman Groep B.V.,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212" s="2" t="inlineStr">
        <is>
          <t>https://www.samangroep.nl/zonnepanelen-utrecht</t>
        </is>
      </c>
      <c r="AI212" s="2" t="inlineStr">
        <is>
          <t>Page 'Zonnepanelen Utrecht: Offerte voor zonnepanelen'; offers free consultation; has klantenservice page and Zendesk help center; ~843 Trustpilot reviews (summary).</t>
        </is>
      </c>
      <c r="AJ212" s="2" t="inlineStr">
        <is>
          <t>Company website (quote page)</t>
        </is>
      </c>
      <c r="AK212" s="2" t="inlineStr">
        <is>
          <t>Medium</t>
        </is>
      </c>
      <c r="AL212" s="2" t="inlineStr">
        <is>
          <t>Ready</t>
        </is>
      </c>
      <c r="AM212" s="2" t="inlineStr">
        <is>
          <t>Not Sent</t>
        </is>
      </c>
      <c r="AN212" s="2" t="n"/>
      <c r="AO212" s="2" t="inlineStr">
        <is>
          <t>Batch 3 | Email corroborated by exact-match search returning company-related pages (Trustpilot profile, site); exact page containing it not pinpointed. HQ city from Facebook page title (Zierikzee). | Email source: https://www.trustpilot.com/review/samangroep.nl</t>
        </is>
      </c>
    </row>
    <row r="213">
      <c r="A213" s="2" t="inlineStr"/>
      <c r="B213" s="2" t="inlineStr">
        <is>
          <t>De Zonnegroep</t>
        </is>
      </c>
      <c r="C213" s="2" t="inlineStr"/>
      <c r="D213" s="2" t="inlineStr"/>
      <c r="E213" s="2" t="inlineStr">
        <is>
          <t>info@dezonnegroep.nl</t>
        </is>
      </c>
      <c r="F213" s="2" t="inlineStr">
        <is>
          <t>Netherlands</t>
        </is>
      </c>
      <c r="G213" s="2" t="inlineStr">
        <is>
          <t>Noord-Holland</t>
        </is>
      </c>
      <c r="H213" s="2" t="inlineStr">
        <is>
          <t>Diemen</t>
        </is>
      </c>
      <c r="I213" s="2" t="inlineStr">
        <is>
          <t>https://www.dezonnegroep.nl/</t>
        </is>
      </c>
      <c r="J213" s="2" t="inlineStr">
        <is>
          <t>Residential &amp; commercial solar installer</t>
        </is>
      </c>
      <c r="K213" s="2" t="inlineStr">
        <is>
          <t>Solar PV, home batteries, EV charging stations</t>
        </is>
      </c>
      <c r="L213" s="2" t="inlineStr">
        <is>
          <t>Residential &amp; Commercial</t>
        </is>
      </c>
      <c r="M213" s="2" t="inlineStr">
        <is>
          <t>Unknown</t>
        </is>
      </c>
      <c r="N213" s="2" t="inlineStr">
        <is>
          <t>Netherlands (location pages incl. Noord-Brabant, Overijssel)</t>
        </is>
      </c>
      <c r="O213" s="2" t="inlineStr">
        <is>
          <t>Unknown (HQ Sniep 31, Diemen)</t>
        </is>
      </c>
      <c r="P213" s="2" t="inlineStr">
        <is>
          <t>Unknown</t>
        </is>
      </c>
      <c r="Q213" s="2" t="inlineStr">
        <is>
          <t>Unknown</t>
        </is>
      </c>
      <c r="R213" s="2" t="inlineStr">
        <is>
          <t>Unknown</t>
        </is>
      </c>
      <c r="S213" s="2" t="inlineStr">
        <is>
          <t>Unknown</t>
        </is>
      </c>
      <c r="T213" s="2" t="inlineStr">
        <is>
          <t>Unknown</t>
        </is>
      </c>
      <c r="U213" s="2" t="inlineStr">
        <is>
          <t>Phone + email (reply within 1 working day)</t>
        </is>
      </c>
      <c r="V213" s="2" t="inlineStr">
        <is>
          <t>Website contact page; regional location pages; Trustpilot</t>
        </is>
      </c>
      <c r="W213" s="2" t="inlineStr">
        <is>
          <t>None found</t>
        </is>
      </c>
      <c r="X213" s="2" t="inlineStr">
        <is>
          <t>Regional location pages across multiple provinces; works extensively for businesses in Eindhoven, Den Bosch, Tilburg, Veghel</t>
        </is>
      </c>
      <c r="Y213" s="2" t="inlineStr">
        <is>
          <t>None found</t>
        </is>
      </c>
      <c r="Z213" s="2" t="inlineStr">
        <is>
          <t>Contact form/email with promised reply within 1 working day</t>
        </is>
      </c>
      <c r="AA213" s="2" t="inlineStr">
        <is>
          <t>Lead routing</t>
        </is>
      </c>
      <c r="AB213" s="2" t="inlineStr">
        <is>
          <t>High</t>
        </is>
      </c>
      <c r="AC213" s="2" t="inlineStr">
        <is>
          <t>Your contact page promises a response within 1 working day.</t>
        </is>
      </c>
      <c r="AD213" s="2" t="inlineStr">
        <is>
          <t>Supports the lead routing idea: Contact form/email with promised reply within 1 working day</t>
        </is>
      </c>
      <c r="AE213" s="2" t="inlineStr">
        <is>
          <t>I was looking at your website and saw that your contact page promises a response within 1 working day.</t>
        </is>
      </c>
      <c r="AF213" s="2" t="inlineStr">
        <is>
          <t>A lead routing idea for De Zonnegroep</t>
        </is>
      </c>
      <c r="AG213" s="2" t="inlineStr">
        <is>
          <t>Hi De Zonnegroep team,
I was looking at your website and saw that your contact page promises a response within 1 working day.
I work with businesses on AI and workflow automation. For a solar company like De Zonnegroep,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13" s="2" t="inlineStr">
        <is>
          <t>https://www.dezonnegroep.nl/locaties/noord-brabant</t>
        </is>
      </c>
      <c r="AI213" s="2" t="inlineStr">
        <is>
          <t>Location pages /locaties/noord-brabant and /locaties/overijssel; contact page lists Sniep 31, Diemen; solar, batteries, charging stations; phone 085 004 6159.</t>
        </is>
      </c>
      <c r="AJ213" s="2" t="inlineStr">
        <is>
          <t>Company website (contact page)</t>
        </is>
      </c>
      <c r="AK213" s="2" t="inlineStr">
        <is>
          <t>High</t>
        </is>
      </c>
      <c r="AL213" s="2" t="inlineStr">
        <is>
          <t>Ready</t>
        </is>
      </c>
      <c r="AM213" s="2" t="inlineStr">
        <is>
          <t>Not Sent</t>
        </is>
      </c>
      <c r="AN213" s="2" t="n"/>
      <c r="AO213" s="2" t="inlineStr">
        <is>
          <t>Batch 3 | Email source: https://www.dezonnegroep.nl/contact</t>
        </is>
      </c>
    </row>
    <row r="214">
      <c r="A214" s="2" t="inlineStr"/>
      <c r="B214" s="2" t="inlineStr">
        <is>
          <t>HanVos Zonnepanelen (HanVos Installaties)</t>
        </is>
      </c>
      <c r="C214" s="2" t="inlineStr"/>
      <c r="D214" s="2" t="inlineStr"/>
      <c r="E214" s="2" t="inlineStr">
        <is>
          <t>info@hanvosinstallaties.nl</t>
        </is>
      </c>
      <c r="F214" s="2" t="inlineStr">
        <is>
          <t>Netherlands</t>
        </is>
      </c>
      <c r="G214" s="2" t="inlineStr">
        <is>
          <t>Zuid-Holland</t>
        </is>
      </c>
      <c r="H214" s="2" t="inlineStr">
        <is>
          <t>Alblasserdam</t>
        </is>
      </c>
      <c r="I214" s="2" t="inlineStr">
        <is>
          <t>https://www.hanvoszonnepanelen.nl/</t>
        </is>
      </c>
      <c r="J214" s="2" t="inlineStr">
        <is>
          <t>Solar &amp; multi-trade installer</t>
        </is>
      </c>
      <c r="K214" s="2" t="inlineStr">
        <is>
          <t>Solar PV, solar maintenance, heat pumps, air conditioning, underfloor heating, electrical</t>
        </is>
      </c>
      <c r="L214" s="2" t="inlineStr">
        <is>
          <t>Residential</t>
        </is>
      </c>
      <c r="M214" s="2" t="inlineStr">
        <is>
          <t>Unknown (in business since 2002)</t>
        </is>
      </c>
      <c r="N214" s="2" t="inlineStr">
        <is>
          <t>Zuid-Holland &amp; Noord-Brabant</t>
        </is>
      </c>
      <c r="O214" s="2" t="inlineStr">
        <is>
          <t>3 offices: Alblasserdam, Den Haag, Breda</t>
        </is>
      </c>
      <c r="P214" s="2" t="inlineStr">
        <is>
          <t>Yes</t>
        </is>
      </c>
      <c r="Q214" s="2" t="inlineStr">
        <is>
          <t>Unknown</t>
        </is>
      </c>
      <c r="R214" s="2" t="inlineStr">
        <is>
          <t>Unknown</t>
        </is>
      </c>
      <c r="S214" s="2" t="inlineStr">
        <is>
          <t>Yes</t>
        </is>
      </c>
      <c r="T214" s="2" t="inlineStr">
        <is>
          <t>Unknown</t>
        </is>
      </c>
      <c r="U214" s="2" t="inlineStr">
        <is>
          <t>Phone + email + WhatsApp; maintenance plans from EUR 9/month</t>
        </is>
      </c>
      <c r="V214" s="2" t="inlineStr">
        <is>
          <t>Website contact &amp; quote form; many city landing pages; WhatsApp; phone</t>
        </is>
      </c>
      <c r="W214" s="2" t="inlineStr">
        <is>
          <t>None found</t>
        </is>
      </c>
      <c r="X214" s="2" t="inlineStr">
        <is>
          <t>3 offices; multiple brand sites (airco, warmtepomp, vloerverwarming, elektra); many city pages</t>
        </is>
      </c>
      <c r="Y214" s="2" t="inlineStr">
        <is>
          <t>Solar maintenance subscription offered</t>
        </is>
      </c>
      <c r="Z214" s="2" t="inlineStr">
        <is>
          <t>Contact &amp; quote form plus WhatsApp; replies within 24 hours during office hours</t>
        </is>
      </c>
      <c r="AA214" s="2" t="inlineStr">
        <is>
          <t>WhatsApp automation</t>
        </is>
      </c>
      <c r="AB214" s="2" t="inlineStr">
        <is>
          <t>High</t>
        </is>
      </c>
      <c r="AC214" s="2" t="inlineStr">
        <is>
          <t>Your site offers solar panel maintenance subscriptions starting at EUR 9 per month.</t>
        </is>
      </c>
      <c r="AD214" s="2" t="inlineStr">
        <is>
          <t>Supports the whatsapp automation idea: Contact &amp; quote form plus WhatsApp; replies within 24 hours during office hours</t>
        </is>
      </c>
      <c r="AE214" s="2" t="inlineStr">
        <is>
          <t>I came across HanVos Zonnepanelen (HanVos Installaties) and noticed your site offers solar panel maintenance subscriptions starting at EUR 9 per month.</t>
        </is>
      </c>
      <c r="AF214" s="2" t="inlineStr">
        <is>
          <t>A solar lead follow up idea</t>
        </is>
      </c>
      <c r="AG214" s="2" t="inlineStr">
        <is>
          <t>Hi HanVos Zonnepanelen (HanVos Installaties) team,
I came across HanVos Zonnepanelen (HanVos Installaties) and noticed your site offers solar panel maintenance subscriptions starting at EUR 9 per month.
I work with businesses on AI and workflow automation. For a solar company like HanVos Zonnepanelen (HanVos Installaties), enquiries could be answered on WhatsApp automatically, with basic questions handled and a consultation offered before a person takes over.
Customers get quick answers on the channel they already use.
Would it be useful if I showed you how this could work with your current setup?
Best,
[Sender Name]
AI Automation Specialist</t>
        </is>
      </c>
      <c r="AH214" s="2" t="inlineStr">
        <is>
          <t>https://www.hanvoszonnepanelen.nl/contact</t>
        </is>
      </c>
      <c r="AI214" s="2" t="inlineStr">
        <is>
          <t>Page 'Contact &amp; Offerte Aanvragen'; /onderhoud page 'vanaf EUR 9/mnd'; offices Alblasserdam, Den Haag, Breda; WhatsApp 06-20 23 90 55.</t>
        </is>
      </c>
      <c r="AJ214" s="2" t="inlineStr">
        <is>
          <t>Company website (contact/quote page)</t>
        </is>
      </c>
      <c r="AK214" s="2" t="inlineStr">
        <is>
          <t>High</t>
        </is>
      </c>
      <c r="AL214" s="2" t="inlineStr">
        <is>
          <t>Review</t>
        </is>
      </c>
      <c r="AM214" s="2" t="inlineStr">
        <is>
          <t>Not Sent</t>
        </is>
      </c>
      <c r="AN214" s="2" t="n"/>
      <c r="AO214" s="2" t="inlineStr">
        <is>
          <t>Batch 3 | Search summary suggested info@hanvoszonnepanelen.nl may not be the main address; used info@hanvosinstallaties.nl which appears on group contact pages. | Email domain (hanvosinstallaties.nl) differs from website domain (hanvoszonnepanelen.nl). | Email source: https://www.hanvosinstallaties.nl/contact</t>
        </is>
      </c>
    </row>
    <row r="215">
      <c r="A215" s="2" t="inlineStr"/>
      <c r="B215" s="2" t="inlineStr">
        <is>
          <t>BINK Techniek</t>
        </is>
      </c>
      <c r="C215" s="2" t="inlineStr"/>
      <c r="D215" s="2" t="inlineStr"/>
      <c r="E215" s="2" t="inlineStr">
        <is>
          <t>info@binktechniek.nl</t>
        </is>
      </c>
      <c r="F215" s="2" t="inlineStr">
        <is>
          <t>Netherlands</t>
        </is>
      </c>
      <c r="G215" s="2" t="inlineStr">
        <is>
          <t>Noord-Brabant</t>
        </is>
      </c>
      <c r="H215" s="2" t="inlineStr">
        <is>
          <t>Sprundel</t>
        </is>
      </c>
      <c r="I215" s="2" t="inlineStr">
        <is>
          <t>https://www.binktechniek.nl/</t>
        </is>
      </c>
      <c r="J215" s="2" t="inlineStr">
        <is>
          <t>Technical installer incl. solar</t>
        </is>
      </c>
      <c r="K215" s="2" t="inlineStr">
        <is>
          <t>Solar PV, home batteries, EV chargers, heat pumps, electrical</t>
        </is>
      </c>
      <c r="L215" s="2" t="inlineStr">
        <is>
          <t>Residential &amp; Commercial</t>
        </is>
      </c>
      <c r="M215" s="2" t="inlineStr">
        <is>
          <t>Unknown</t>
        </is>
      </c>
      <c r="N215" s="2" t="inlineStr">
        <is>
          <t>Noord-Brabant, Zuid-Holland</t>
        </is>
      </c>
      <c r="O215" s="2" t="inlineStr">
        <is>
          <t>3 (Sprundel, Kaatsheuvel, Alphen aan den Rijn)</t>
        </is>
      </c>
      <c r="P215" s="2" t="inlineStr">
        <is>
          <t>Unknown</t>
        </is>
      </c>
      <c r="Q215" s="2" t="inlineStr">
        <is>
          <t>Unknown</t>
        </is>
      </c>
      <c r="R215" s="2" t="inlineStr">
        <is>
          <t>Unknown</t>
        </is>
      </c>
      <c r="S215" s="2" t="inlineStr">
        <is>
          <t>Unknown</t>
        </is>
      </c>
      <c r="T215" s="2" t="inlineStr">
        <is>
          <t>Unknown</t>
        </is>
      </c>
      <c r="U215" s="2" t="inlineStr">
        <is>
          <t>Phone + email</t>
        </is>
      </c>
      <c r="V215" s="2" t="inlineStr">
        <is>
          <t>Website; regional landing pages; phone</t>
        </is>
      </c>
      <c r="W215" s="2" t="inlineStr">
        <is>
          <t>None found</t>
        </is>
      </c>
      <c r="X215" s="2" t="inlineStr">
        <is>
          <t>Offices in Sprundel, Kaatsheuvel and Alphen aan den Rijn</t>
        </is>
      </c>
      <c r="Y215" s="2" t="inlineStr">
        <is>
          <t>None found</t>
        </is>
      </c>
      <c r="Z215" s="2" t="inlineStr">
        <is>
          <t>Contact page/phone intake across multiple offices</t>
        </is>
      </c>
      <c r="AA215" s="2" t="inlineStr">
        <is>
          <t>Lead routing</t>
        </is>
      </c>
      <c r="AB215" s="2" t="inlineStr">
        <is>
          <t>Medium</t>
        </is>
      </c>
      <c r="AC215" s="2" t="inlineStr">
        <is>
          <t>Your company operates offices in Sprundel, Kaatsheuvel and Alphen aan den Rijn.</t>
        </is>
      </c>
      <c r="AD215" s="2" t="inlineStr">
        <is>
          <t>Supports the lead routing idea: Contact page/phone intake across multiple offices</t>
        </is>
      </c>
      <c r="AE215" s="2" t="inlineStr">
        <is>
          <t>I noticed your company operates offices in Sprundel, Kaatsheuvel and Alphen aan den Rijn.</t>
        </is>
      </c>
      <c r="AF215" s="2" t="inlineStr">
        <is>
          <t>A lead routing idea for BINK Techniek</t>
        </is>
      </c>
      <c r="AG215" s="2" t="inlineStr">
        <is>
          <t>Hi BINK Techniek team,
I noticed your company operates offices in Sprundel, Kaatsheuvel and Alphen aan den Rijn.
I work with businesses on AI and workflow automation. For a solar company like BINK Techniek,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15" s="2" t="inlineStr">
        <is>
          <t>https://www.binktechniek.nl/zonnepanelen-noord-brabant</t>
        </is>
      </c>
      <c r="AI215" s="2" t="inlineStr">
        <is>
          <t>Page 'Zonnepanelen Noord-Brabant'; contact page; phone 076 599 1700; offers laadpalen, thuisbatterijen, warmtepompen, zonnepanelen.</t>
        </is>
      </c>
      <c r="AJ215" s="2" t="inlineStr">
        <is>
          <t>Company website (contact page)</t>
        </is>
      </c>
      <c r="AK215" s="2" t="inlineStr">
        <is>
          <t>High</t>
        </is>
      </c>
      <c r="AL215" s="2" t="inlineStr">
        <is>
          <t>Ready</t>
        </is>
      </c>
      <c r="AM215" s="2" t="inlineStr">
        <is>
          <t>Not Sent</t>
        </is>
      </c>
      <c r="AN215" s="2" t="n"/>
      <c r="AO215" s="2" t="inlineStr">
        <is>
          <t>Batch 3 | Broad installer; solar is one service line. | Email source: https://www.binktechniek.nl/contact</t>
        </is>
      </c>
    </row>
    <row r="216">
      <c r="A216" s="2" t="inlineStr"/>
      <c r="B216" s="2" t="inlineStr">
        <is>
          <t>PureSolar</t>
        </is>
      </c>
      <c r="C216" s="2" t="inlineStr"/>
      <c r="D216" s="2" t="inlineStr"/>
      <c r="E216" s="2" t="inlineStr">
        <is>
          <t>info@puresolar.nl</t>
        </is>
      </c>
      <c r="F216" s="2" t="inlineStr">
        <is>
          <t>Netherlands</t>
        </is>
      </c>
      <c r="G216" s="2" t="inlineStr">
        <is>
          <t>Noord-Brabant</t>
        </is>
      </c>
      <c r="H216" s="2" t="inlineStr">
        <is>
          <t>Valkenswaard</t>
        </is>
      </c>
      <c r="I216" s="2" t="inlineStr">
        <is>
          <t>https://www.puresolar.nl/</t>
        </is>
      </c>
      <c r="J216" s="2" t="inlineStr">
        <is>
          <t>Solar &amp; battery installer</t>
        </is>
      </c>
      <c r="K216" s="2" t="inlineStr">
        <is>
          <t>Solar PV, home batteries, EMS systems, service &amp; maintenance</t>
        </is>
      </c>
      <c r="L216" s="2" t="inlineStr">
        <is>
          <t>Residential</t>
        </is>
      </c>
      <c r="M216" s="2" t="inlineStr">
        <is>
          <t>Unknown</t>
        </is>
      </c>
      <c r="N216" s="2" t="inlineStr">
        <is>
          <t>Noord-Brabant (Eindhoven, Tilburg, Breda, Helmond, Den Bosch, Roosendaal, Oss)</t>
        </is>
      </c>
      <c r="O216" s="2" t="inlineStr">
        <is>
          <t>1 (Valkenswaard)</t>
        </is>
      </c>
      <c r="P216" s="2" t="inlineStr">
        <is>
          <t>Unknown</t>
        </is>
      </c>
      <c r="Q216" s="2" t="inlineStr">
        <is>
          <t>Unknown</t>
        </is>
      </c>
      <c r="R216" s="2" t="inlineStr">
        <is>
          <t>Unknown</t>
        </is>
      </c>
      <c r="S216" s="2" t="inlineStr">
        <is>
          <t>Unknown</t>
        </is>
      </c>
      <c r="T216" s="2" t="inlineStr">
        <is>
          <t>Unknown</t>
        </is>
      </c>
      <c r="U216" s="2" t="inlineStr">
        <is>
          <t>Service &amp; maintenance team</t>
        </is>
      </c>
      <c r="V216" s="2" t="inlineStr">
        <is>
          <t>Website; city landing pages; reference page</t>
        </is>
      </c>
      <c r="W216" s="2" t="inlineStr">
        <is>
          <t>None found</t>
        </is>
      </c>
      <c r="X216" s="2" t="inlineStr">
        <is>
          <t>References page runs to 28+ pages</t>
        </is>
      </c>
      <c r="Y216" s="2" t="inlineStr">
        <is>
          <t>Published 'werkwijze' (process) page</t>
        </is>
      </c>
      <c r="Z216" s="2" t="inlineStr">
        <is>
          <t>Multi-step process (werkwijze) with manual follow-up; service/maintenance offering</t>
        </is>
      </c>
      <c r="AA216" s="2" t="inlineStr">
        <is>
          <t>Review request automation</t>
        </is>
      </c>
      <c r="AB216" s="2" t="inlineStr">
        <is>
          <t>Medium</t>
        </is>
      </c>
      <c r="AC216" s="2" t="inlineStr">
        <is>
          <t>Your references section runs to more than 28 pages of customer projects.</t>
        </is>
      </c>
      <c r="AD216" s="2" t="inlineStr">
        <is>
          <t>Supports the review request automation idea: Multi-step process (werkwijze) with manual follow-up; service/maintenance offering</t>
        </is>
      </c>
      <c r="AE216" s="2" t="inlineStr">
        <is>
          <t>I was looking at your website and saw that your references section runs to more than 28 pages of customer projects.</t>
        </is>
      </c>
      <c r="AF216" s="2" t="inlineStr">
        <is>
          <t>Review requests at PureSolar</t>
        </is>
      </c>
      <c r="AG216" s="2" t="inlineStr">
        <is>
          <t>Hi PureSolar team,
I was looking at your website and saw that your references section runs to more than 28 pages of customer projects.
I work with businesses on AI and workflow automation. For a solar company like PureSolar, after each install, customers could get a timed review request by email or SMS, with a reminder if they don't respond.
It builds steady reviews without anyone needing to remember to ask.
Would it be useful if I showed you how this could work with your current setup?
Best,
[Sender Name]
AI Automation Specialist</t>
        </is>
      </c>
      <c r="AH216" s="2" t="inlineStr">
        <is>
          <t>https://www.puresolar.nl/werkwijze/</t>
        </is>
      </c>
      <c r="AI216" s="2" t="inlineStr">
        <is>
          <t>Pages /werkwijze/, /service-en-onderhoud/, /referenties/?apage=28; John F Kennedylaan 9B, Valkenswaard; 040-760-0977.</t>
        </is>
      </c>
      <c r="AJ216" s="2" t="inlineStr">
        <is>
          <t>Company website (contact page)</t>
        </is>
      </c>
      <c r="AK216" s="2" t="inlineStr">
        <is>
          <t>High</t>
        </is>
      </c>
      <c r="AL216" s="2" t="inlineStr">
        <is>
          <t>Ready</t>
        </is>
      </c>
      <c r="AM216" s="2" t="inlineStr">
        <is>
          <t>Not Sent</t>
        </is>
      </c>
      <c r="AN216" s="2" t="n"/>
      <c r="AO216" s="2" t="inlineStr">
        <is>
          <t>Batch 3 | Email source: https://www.puresolar.nl/contact/</t>
        </is>
      </c>
    </row>
    <row r="217">
      <c r="A217" s="2" t="inlineStr"/>
      <c r="B217" s="2" t="inlineStr">
        <is>
          <t>De Kei Verduurzaming</t>
        </is>
      </c>
      <c r="C217" s="2" t="inlineStr"/>
      <c r="D217" s="2" t="inlineStr"/>
      <c r="E217" s="2" t="inlineStr">
        <is>
          <t>info@dekeizonnepanelen.nl</t>
        </is>
      </c>
      <c r="F217" s="2" t="inlineStr">
        <is>
          <t>Netherlands</t>
        </is>
      </c>
      <c r="G217" s="2" t="inlineStr">
        <is>
          <t>Utrecht</t>
        </is>
      </c>
      <c r="H217" s="2" t="inlineStr">
        <is>
          <t>Achterveld</t>
        </is>
      </c>
      <c r="I217" s="2" t="inlineStr">
        <is>
          <t>https://dekeizonnepanelen.nl/</t>
        </is>
      </c>
      <c r="J217" s="2" t="inlineStr">
        <is>
          <t>Solar &amp; battery installer</t>
        </is>
      </c>
      <c r="K217" s="2" t="inlineStr">
        <is>
          <t>Solar PV, Deye home batteries, heat pumps, air conditioning</t>
        </is>
      </c>
      <c r="L217" s="2" t="inlineStr">
        <is>
          <t>Residential</t>
        </is>
      </c>
      <c r="M217" s="2" t="inlineStr">
        <is>
          <t>Unknown</t>
        </is>
      </c>
      <c r="N217" s="2" t="inlineStr">
        <is>
          <t>Amersfoort, Utrecht, Veluwe</t>
        </is>
      </c>
      <c r="O217" s="2" t="inlineStr">
        <is>
          <t>1 (Achterveld)</t>
        </is>
      </c>
      <c r="P217" s="2" t="inlineStr">
        <is>
          <t>Yes</t>
        </is>
      </c>
      <c r="Q217" s="2" t="inlineStr">
        <is>
          <t>Yes</t>
        </is>
      </c>
      <c r="R217" s="2" t="inlineStr">
        <is>
          <t>Unknown</t>
        </is>
      </c>
      <c r="S217" s="2" t="inlineStr">
        <is>
          <t>Yes</t>
        </is>
      </c>
      <c r="T217" s="2" t="inlineStr">
        <is>
          <t>Unknown</t>
        </is>
      </c>
      <c r="U217" s="2" t="inlineStr">
        <is>
          <t>Phone + email</t>
        </is>
      </c>
      <c r="V217" s="2" t="inlineStr">
        <is>
          <t>Website quote form; city pages (Utrecht, Baarn); blog; reviews page</t>
        </is>
      </c>
      <c r="W217" s="2" t="inlineStr">
        <is>
          <t>None found</t>
        </is>
      </c>
      <c r="X217" s="2" t="inlineStr">
        <is>
          <t>None found</t>
        </is>
      </c>
      <c r="Y217" s="2" t="inlineStr">
        <is>
          <t>Promises call-back within 4 hours on working days after online quote request; in-home roof assessment</t>
        </is>
      </c>
      <c r="Z217" s="2" t="inlineStr">
        <is>
          <t>Online quote request followed by manual call-back within 4 hours</t>
        </is>
      </c>
      <c r="AA217" s="2" t="inlineStr">
        <is>
          <t>Missed lead recovery</t>
        </is>
      </c>
      <c r="AB217" s="2" t="inlineStr">
        <is>
          <t>Medium</t>
        </is>
      </c>
      <c r="AC217" s="2" t="inlineStr">
        <is>
          <t>Your site promises a call-back within 4 hours on working days after an online quote request.</t>
        </is>
      </c>
      <c r="AD217" s="2" t="inlineStr">
        <is>
          <t>Supports the missed lead recovery idea: Online quote request followed by manual call-back within 4 hours</t>
        </is>
      </c>
      <c r="AE217" s="2" t="inlineStr">
        <is>
          <t>I came across De Kei Verduurzaming and noticed your site promises a call-back within 4 hours on working days after an online quote request.</t>
        </is>
      </c>
      <c r="AF217" s="2" t="inlineStr">
        <is>
          <t>Solar lead follow up idea</t>
        </is>
      </c>
      <c r="AG217" s="2" t="inlineStr">
        <is>
          <t>Hi De Kei Verduurzaming team,
I came across De Kei Verduurzaming and noticed your site promises a call-back within 4 hours on working days after an online quote request.
I work with businesses on AI and workflow automation. For a solar company like De Kei Verduurzaming,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217" s="2" t="inlineStr">
        <is>
          <t>https://dekeizonnepanelen.nl/offerte-aanvragen/</t>
        </is>
      </c>
      <c r="AI217" s="2" t="inlineStr">
        <is>
          <t>Page 'Offerte thuisbatterij &amp; zonnepanelen' (/offerte-aanvragen/); Hessenweg 209B Achterveld; 5.0 Google rating (47 reviews, summary).</t>
        </is>
      </c>
      <c r="AJ217" s="2" t="inlineStr">
        <is>
          <t>Company website (quote page)</t>
        </is>
      </c>
      <c r="AK217" s="2" t="inlineStr">
        <is>
          <t>High</t>
        </is>
      </c>
      <c r="AL217" s="2" t="inlineStr">
        <is>
          <t>Ready</t>
        </is>
      </c>
      <c r="AM217" s="2" t="inlineStr">
        <is>
          <t>Not Sent</t>
        </is>
      </c>
      <c r="AN217" s="2" t="n"/>
      <c r="AO217" s="2" t="inlineStr">
        <is>
          <t>Batch 3 | Achterveld is in Utrecht province (municipality Leusden). | Email source: https://dekeizonnepanelen.nl/contact/</t>
        </is>
      </c>
    </row>
    <row r="218">
      <c r="A218" s="2" t="inlineStr"/>
      <c r="B218" s="2" t="inlineStr">
        <is>
          <t>Adviesgroep Oost</t>
        </is>
      </c>
      <c r="C218" s="2" t="inlineStr"/>
      <c r="D218" s="2" t="inlineStr"/>
      <c r="E218" s="2" t="inlineStr">
        <is>
          <t>info@adviesgroepoost.nl</t>
        </is>
      </c>
      <c r="F218" s="2" t="inlineStr">
        <is>
          <t>Netherlands</t>
        </is>
      </c>
      <c r="G218" s="2" t="inlineStr">
        <is>
          <t>Overijssel</t>
        </is>
      </c>
      <c r="H218" s="2" t="inlineStr">
        <is>
          <t>Enter</t>
        </is>
      </c>
      <c r="I218" s="2" t="inlineStr">
        <is>
          <t>https://www.adviesgroepoost.nl/</t>
        </is>
      </c>
      <c r="J218" s="2" t="inlineStr">
        <is>
          <t>Home sustainability installer incl. solar</t>
        </is>
      </c>
      <c r="K218" s="2" t="inlineStr">
        <is>
          <t>Solar PV, insulation, cavity wall insulation, heat pumps</t>
        </is>
      </c>
      <c r="L218" s="2" t="inlineStr">
        <is>
          <t>Residential</t>
        </is>
      </c>
      <c r="M218" s="2" t="inlineStr">
        <is>
          <t>Unknown</t>
        </is>
      </c>
      <c r="N218" s="2" t="inlineStr">
        <is>
          <t>Eastern Netherlands and Utrecht</t>
        </is>
      </c>
      <c r="O218" s="2" t="inlineStr">
        <is>
          <t>Unknown</t>
        </is>
      </c>
      <c r="P218" s="2" t="inlineStr">
        <is>
          <t>Yes</t>
        </is>
      </c>
      <c r="Q218" s="2" t="inlineStr">
        <is>
          <t>Yes</t>
        </is>
      </c>
      <c r="R218" s="2" t="inlineStr">
        <is>
          <t>Unknown</t>
        </is>
      </c>
      <c r="S218" s="2" t="inlineStr">
        <is>
          <t>Unknown</t>
        </is>
      </c>
      <c r="T218" s="2" t="inlineStr">
        <is>
          <t>Unknown</t>
        </is>
      </c>
      <c r="U218" s="2" t="inlineStr">
        <is>
          <t>Email + WhatsApp + social</t>
        </is>
      </c>
      <c r="V218" s="2" t="inlineStr">
        <is>
          <t>Website; referral programme (adviseer-ons); municipality partnerships; Facebook, Instagram, LinkedIn, WhatsApp</t>
        </is>
      </c>
      <c r="W218" s="2" t="inlineStr">
        <is>
          <t>Team of advisors giving free home advice</t>
        </is>
      </c>
      <c r="X218" s="2" t="inlineStr">
        <is>
          <t>None found</t>
        </is>
      </c>
      <c r="Y218" s="2" t="inlineStr">
        <is>
          <t>Published werkwijze page; referral reward programme</t>
        </is>
      </c>
      <c r="Z218" s="2" t="inlineStr">
        <is>
          <t>Free advisor visits and quotes, referral programme managed manually</t>
        </is>
      </c>
      <c r="AA218" s="2" t="inlineStr">
        <is>
          <t>Appointment booking automation</t>
        </is>
      </c>
      <c r="AB218" s="2" t="inlineStr">
        <is>
          <t>Medium</t>
        </is>
      </c>
      <c r="AC218" s="2" t="inlineStr">
        <is>
          <t>Your site runs a referral programme that pays people for recommending you.</t>
        </is>
      </c>
      <c r="AD218" s="2" t="inlineStr">
        <is>
          <t>Supports the appointment booking automation idea: Free advisor visits and quotes, referral programme managed manually</t>
        </is>
      </c>
      <c r="AE218" s="2" t="inlineStr">
        <is>
          <t>I noticed your site runs a referral programme that pays people for recommending you.</t>
        </is>
      </c>
      <c r="AF218" s="2" t="inlineStr">
        <is>
          <t>Consultation booking at Adviesgroep Oost</t>
        </is>
      </c>
      <c r="AG218" s="2" t="inlineStr">
        <is>
          <t>Hi Adviesgroep Oost team,
I noticed your site runs a referral programme that pays people for recommending you.
I work with businesses on AI and workflow automation. For a solar company like Adviesgroep Oost,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218" s="2" t="inlineStr">
        <is>
          <t>https://www.adviesgroepoost.nl/zonnepanelen-utrecht/</t>
        </is>
      </c>
      <c r="AI218" s="2" t="inlineStr">
        <is>
          <t>Pages /zonnepanelen-utrecht/, /adviseer-ons/ ('Adviseer ons en ontvang geld'), /gemeente/, /over-ons/werkwijze/; Facebook lists Enter.</t>
        </is>
      </c>
      <c r="AJ218" s="2" t="inlineStr">
        <is>
          <t>Company website (contact page)</t>
        </is>
      </c>
      <c r="AK218" s="2" t="inlineStr">
        <is>
          <t>Medium</t>
        </is>
      </c>
      <c r="AL218" s="2" t="inlineStr">
        <is>
          <t>Ready</t>
        </is>
      </c>
      <c r="AM218" s="2" t="inlineStr">
        <is>
          <t>Not Sent</t>
        </is>
      </c>
      <c r="AN218" s="2" t="n"/>
      <c r="AO218" s="2" t="inlineStr">
        <is>
          <t>Batch 3 | Solar is one of several sustainability products. | Email source: https://www.adviesgroepoost.nl/contact/</t>
        </is>
      </c>
    </row>
    <row r="219">
      <c r="A219" s="2" t="inlineStr"/>
      <c r="B219" s="2" t="inlineStr">
        <is>
          <t>Solar Experience Center Midden-Nederland</t>
        </is>
      </c>
      <c r="C219" s="2" t="inlineStr"/>
      <c r="D219" s="2" t="inlineStr"/>
      <c r="E219" s="2" t="inlineStr">
        <is>
          <t>info@solarexperiencecenter.nl</t>
        </is>
      </c>
      <c r="F219" s="2" t="inlineStr">
        <is>
          <t>Netherlands</t>
        </is>
      </c>
      <c r="G219" s="2" t="inlineStr">
        <is>
          <t>Gelderland</t>
        </is>
      </c>
      <c r="H219" s="2" t="inlineStr">
        <is>
          <t>Culemborg</t>
        </is>
      </c>
      <c r="I219" s="2" t="inlineStr">
        <is>
          <t>https://www.solarexperiencecenter.nl/</t>
        </is>
      </c>
      <c r="J219" s="2" t="inlineStr">
        <is>
          <t>Residential &amp; commercial solar installer</t>
        </is>
      </c>
      <c r="K219" s="2" t="inlineStr">
        <is>
          <t>Solar PV, home sustainability</t>
        </is>
      </c>
      <c r="L219" s="2" t="inlineStr">
        <is>
          <t>Residential &amp; Commercial</t>
        </is>
      </c>
      <c r="M219" s="2" t="inlineStr">
        <is>
          <t>Unknown</t>
        </is>
      </c>
      <c r="N219" s="2" t="inlineStr">
        <is>
          <t>Central Netherlands (incl. Utrecht)</t>
        </is>
      </c>
      <c r="O219" s="2" t="inlineStr">
        <is>
          <t>1 (Culemborg showroom)</t>
        </is>
      </c>
      <c r="P219" s="2" t="inlineStr">
        <is>
          <t>Unknown</t>
        </is>
      </c>
      <c r="Q219" s="2" t="inlineStr">
        <is>
          <t>Yes</t>
        </is>
      </c>
      <c r="R219" s="2" t="inlineStr">
        <is>
          <t>Unknown</t>
        </is>
      </c>
      <c r="S219" s="2" t="inlineStr">
        <is>
          <t>Unknown</t>
        </is>
      </c>
      <c r="T219" s="2" t="inlineStr">
        <is>
          <t>Unknown</t>
        </is>
      </c>
      <c r="U219" s="2" t="inlineStr">
        <is>
          <t>Phone + email</t>
        </is>
      </c>
      <c r="V219" s="2" t="inlineStr">
        <is>
          <t>Website; experience center/showroom; Facebook</t>
        </is>
      </c>
      <c r="W219" s="2" t="inlineStr">
        <is>
          <t>None found</t>
        </is>
      </c>
      <c r="X219" s="2" t="inlineStr">
        <is>
          <t>None found</t>
        </is>
      </c>
      <c r="Y219" s="2" t="inlineStr">
        <is>
          <t>None found</t>
        </is>
      </c>
      <c r="Z219" s="2" t="inlineStr">
        <is>
          <t>Consultation planning for home and business customers</t>
        </is>
      </c>
      <c r="AA219" s="2" t="inlineStr">
        <is>
          <t>Appointment booking automation</t>
        </is>
      </c>
      <c r="AB219" s="2" t="inlineStr">
        <is>
          <t>Medium</t>
        </is>
      </c>
      <c r="AC219" s="2" t="inlineStr">
        <is>
          <t>Your site has a dedicated page for business (zakelijk) solar installations.</t>
        </is>
      </c>
      <c r="AD219" s="2" t="inlineStr">
        <is>
          <t>Supports the appointment booking automation idea: Consultation planning for home and business customers</t>
        </is>
      </c>
      <c r="AE219" s="2" t="inlineStr">
        <is>
          <t>I noticed your site has a dedicated page for business (zakelijk) solar installations.</t>
        </is>
      </c>
      <c r="AF219" s="2" t="inlineStr">
        <is>
          <t>Solar appointment follow up</t>
        </is>
      </c>
      <c r="AG219" s="2" t="inlineStr">
        <is>
          <t>Hi Solar Experience Center Midden-Nederland team,
I noticed your site has a dedicated page for business (zakelijk) solar installations.
I work with businesses on AI and workflow automation. For a solar company like Solar Experience Center Midden-Nederland,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219" s="2" t="inlineStr">
        <is>
          <t>https://www.solarexperiencecenter.nl/zonnepanelen/zakelijk/</t>
        </is>
      </c>
      <c r="AI219" s="2" t="inlineStr">
        <is>
          <t>Pages /zonnepanelen/zakelijk/, /zonnepanelen/utrecht/, /contact/; phone 0345-228569; local listings in Culemborg.</t>
        </is>
      </c>
      <c r="AJ219" s="2" t="inlineStr">
        <is>
          <t>Company website (contact page)</t>
        </is>
      </c>
      <c r="AK219" s="2" t="inlineStr">
        <is>
          <t>Medium</t>
        </is>
      </c>
      <c r="AL219" s="2" t="inlineStr">
        <is>
          <t>Ready</t>
        </is>
      </c>
      <c r="AM219" s="2" t="inlineStr">
        <is>
          <t>Not Sent</t>
        </is>
      </c>
      <c r="AN219" s="2" t="n"/>
      <c r="AO219" s="2" t="inlineStr">
        <is>
          <t>Batch 3 | Search summary gave a Tynaarlo address that conflicts with Culemborg listings; used Culemborg. | Email source: https://www.solarexperiencecenter.nl/contact/</t>
        </is>
      </c>
    </row>
    <row r="220">
      <c r="A220" s="2" t="inlineStr"/>
      <c r="B220" s="2" t="inlineStr">
        <is>
          <t>SolarHill Energy</t>
        </is>
      </c>
      <c r="C220" s="2" t="inlineStr"/>
      <c r="D220" s="2" t="inlineStr"/>
      <c r="E220" s="2" t="inlineStr">
        <is>
          <t>info@solarhill.ie</t>
        </is>
      </c>
      <c r="F220" s="2" t="inlineStr">
        <is>
          <t>Ireland</t>
        </is>
      </c>
      <c r="G220" s="2" t="inlineStr">
        <is>
          <t>Cork</t>
        </is>
      </c>
      <c r="H220" s="2" t="inlineStr">
        <is>
          <t>Watergrasshill</t>
        </is>
      </c>
      <c r="I220" s="2" t="inlineStr">
        <is>
          <t>https://solarhill.ie/</t>
        </is>
      </c>
      <c r="J220" s="2" t="inlineStr">
        <is>
          <t>Residential &amp; commercial solar installer</t>
        </is>
      </c>
      <c r="K220" s="2" t="inlineStr">
        <is>
          <t>Solar PV, EV chargers, SEAI grant support</t>
        </is>
      </c>
      <c r="L220" s="2" t="inlineStr">
        <is>
          <t>Residential, Commercial &amp; Agricultural</t>
        </is>
      </c>
      <c r="M220" s="2" t="inlineStr">
        <is>
          <t>Unknown</t>
        </is>
      </c>
      <c r="N220" s="2" t="inlineStr">
        <is>
          <t>Co. Cork</t>
        </is>
      </c>
      <c r="O220" s="2" t="inlineStr">
        <is>
          <t>1 (Watergrasshill, Co. Cork)</t>
        </is>
      </c>
      <c r="P220" s="2" t="inlineStr">
        <is>
          <t>Unknown</t>
        </is>
      </c>
      <c r="Q220" s="2" t="inlineStr">
        <is>
          <t>Unknown</t>
        </is>
      </c>
      <c r="R220" s="2" t="inlineStr">
        <is>
          <t>Unknown</t>
        </is>
      </c>
      <c r="S220" s="2" t="inlineStr">
        <is>
          <t>Unknown</t>
        </is>
      </c>
      <c r="T220" s="2" t="inlineStr">
        <is>
          <t>Unknown</t>
        </is>
      </c>
      <c r="U220" s="2" t="inlineStr">
        <is>
          <t>Phone + email (office Mon-Fri 9-6)</t>
        </is>
      </c>
      <c r="V220" s="2" t="inlineStr">
        <is>
          <t>Website contact page; phone; Golden Pages/ESDA listings</t>
        </is>
      </c>
      <c r="W220" s="2" t="inlineStr">
        <is>
          <t>Website has team pages (/our_team/)</t>
        </is>
      </c>
      <c r="X220" s="2" t="inlineStr">
        <is>
          <t>None found</t>
        </is>
      </c>
      <c r="Y220" s="2" t="inlineStr">
        <is>
          <t>Dedicated SEAI grants page suggests grant-application support step</t>
        </is>
      </c>
      <c r="Z220" s="2" t="inlineStr">
        <is>
          <t>Contact page + phone/email enquiries with SEAI grant guidance</t>
        </is>
      </c>
      <c r="AA220" s="2" t="inlineStr">
        <is>
          <t>Quote request automation</t>
        </is>
      </c>
      <c r="AB220" s="2" t="inlineStr">
        <is>
          <t>Medium</t>
        </is>
      </c>
      <c r="AC220" s="2" t="inlineStr">
        <is>
          <t>Your site has a dedicated SEAI grants page for Cork homeowners.</t>
        </is>
      </c>
      <c r="AD220" s="2" t="inlineStr">
        <is>
          <t>Supports the quote request automation idea: Contact page + phone/email enquiries with SEAI grant guidance</t>
        </is>
      </c>
      <c r="AE220" s="2" t="inlineStr">
        <is>
          <t>I came across SolarHill Energy and noticed your site has a dedicated SEAI grants page for Cork homeowners.</t>
        </is>
      </c>
      <c r="AF220" s="2" t="inlineStr">
        <is>
          <t>A solar quote workflow idea</t>
        </is>
      </c>
      <c r="AG220" s="2" t="inlineStr">
        <is>
          <t>Hi SolarHill Energy team,
I came across SolarHill Energy and noticed your site has a dedicated SEAI grants page for Cork homeowners.
I work with businesses on AI and workflow automation. For a solar company like SolarHill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20" s="2" t="inlineStr">
        <is>
          <t>https://solarhill.ie/contact/</t>
        </is>
      </c>
      <c r="AI220" s="2" t="inlineStr">
        <is>
          <t>Exact-match search for info@solarhill.ie returned solarhill.ie contact, privacy and FAQ pages; Cork-based solar PV &amp; EV installer; SEAI grants page.</t>
        </is>
      </c>
      <c r="AJ220" s="2" t="inlineStr">
        <is>
          <t>Company website (contact page)</t>
        </is>
      </c>
      <c r="AK220" s="2" t="inlineStr">
        <is>
          <t>High</t>
        </is>
      </c>
      <c r="AL220" s="2" t="inlineStr">
        <is>
          <t>Ready</t>
        </is>
      </c>
      <c r="AM220" s="2" t="inlineStr">
        <is>
          <t>Not Sent</t>
        </is>
      </c>
      <c r="AN220" s="2" t="n"/>
      <c r="AO220" s="2" t="inlineStr">
        <is>
          <t>Batch 3</t>
        </is>
      </c>
    </row>
    <row r="221">
      <c r="A221" s="2" t="inlineStr"/>
      <c r="B221" s="2" t="inlineStr">
        <is>
          <t>Clean Energy Solar</t>
        </is>
      </c>
      <c r="C221" s="2" t="inlineStr"/>
      <c r="D221" s="2" t="inlineStr"/>
      <c r="E221" s="2" t="inlineStr">
        <is>
          <t>info@cleanenergysolar.ie</t>
        </is>
      </c>
      <c r="F221" s="2" t="inlineStr">
        <is>
          <t>Ireland</t>
        </is>
      </c>
      <c r="G221" s="2" t="inlineStr">
        <is>
          <t>Cork</t>
        </is>
      </c>
      <c r="H221" s="2" t="inlineStr">
        <is>
          <t>Ballincollig</t>
        </is>
      </c>
      <c r="I221" s="2" t="inlineStr">
        <is>
          <t>https://cleanenergysolar.ie/</t>
        </is>
      </c>
      <c r="J221" s="2" t="inlineStr">
        <is>
          <t>Residential &amp; commercial solar installer</t>
        </is>
      </c>
      <c r="K221" s="2" t="inlineStr">
        <is>
          <t>Solar PV</t>
        </is>
      </c>
      <c r="L221" s="2" t="inlineStr">
        <is>
          <t>Residential &amp; Commercial</t>
        </is>
      </c>
      <c r="M221" s="2" t="inlineStr">
        <is>
          <t>18+ years trading (per search summary)</t>
        </is>
      </c>
      <c r="N221" s="2" t="inlineStr">
        <is>
          <t>Munster</t>
        </is>
      </c>
      <c r="O221" s="2" t="inlineStr">
        <is>
          <t>1 (Unit 5B Link Road Business Park, Ballincollig, Co. Cork)</t>
        </is>
      </c>
      <c r="P221" s="2" t="inlineStr">
        <is>
          <t>Unknown</t>
        </is>
      </c>
      <c r="Q221" s="2" t="inlineStr">
        <is>
          <t>Unknown</t>
        </is>
      </c>
      <c r="R221" s="2" t="inlineStr">
        <is>
          <t>Unknown</t>
        </is>
      </c>
      <c r="S221" s="2" t="inlineStr">
        <is>
          <t>Unknown</t>
        </is>
      </c>
      <c r="T221" s="2" t="inlineStr">
        <is>
          <t>Unknown</t>
        </is>
      </c>
      <c r="U221" s="2" t="inlineStr">
        <is>
          <t>Phone + email</t>
        </is>
      </c>
      <c r="V221" s="2" t="inlineStr">
        <is>
          <t>Website; Facebook promotions (Black Friday 2024 offer); LinkedIn</t>
        </is>
      </c>
      <c r="W221" s="2" t="inlineStr">
        <is>
          <t>Meet-the-team page on website</t>
        </is>
      </c>
      <c r="X221" s="2" t="inlineStr">
        <is>
          <t>Promotional campaigns on Facebook</t>
        </is>
      </c>
      <c r="Y221" s="2" t="inlineStr">
        <is>
          <t>None found</t>
        </is>
      </c>
      <c r="Z221" s="2" t="inlineStr">
        <is>
          <t>Phone/email enquiries driven by social promotions</t>
        </is>
      </c>
      <c r="AA221" s="2" t="inlineStr">
        <is>
          <t>Email follow up</t>
        </is>
      </c>
      <c r="AB221" s="2" t="inlineStr">
        <is>
          <t>Medium</t>
        </is>
      </c>
      <c r="AC221" s="2" t="inlineStr">
        <is>
          <t>You ran a Black Friday 2024 solar offer on Facebook asking people to contact info@cleanenergysolar.ie.</t>
        </is>
      </c>
      <c r="AD221" s="2" t="inlineStr">
        <is>
          <t>Supports the email follow up idea: Phone/email enquiries driven by social promotions</t>
        </is>
      </c>
      <c r="AE221" s="2" t="inlineStr">
        <is>
          <t>I noticed you ran a Black Friday 2024 solar offer on Facebook asking people to contact info@cleanenergysolar.ie.</t>
        </is>
      </c>
      <c r="AF221" s="2" t="inlineStr">
        <is>
          <t>Solar lead follow up idea</t>
        </is>
      </c>
      <c r="AG221" s="2" t="inlineStr">
        <is>
          <t>Hi Clean Energy Solar team,
I noticed you ran a Black Friday 2024 solar offer on Facebook asking people to contact info@cleanenergysolar.ie.
I work with businesses on AI and workflow automation. For a solar company like Clean Energy Solar, a short email sequence could follow up on each enquiry, share relevant info on panels, batteries or financing, and hand warm replies to your team.
It keeps leads engaged without extra manual emails.
Would it be useful if I showed you how this could work with your current setup?
Best,
[Sender Name]
AI Automation Specialist</t>
        </is>
      </c>
      <c r="AH221" s="2" t="inlineStr">
        <is>
          <t>https://cleanenergysolar.ie/</t>
        </is>
      </c>
      <c r="AI221" s="2" t="inlineStr">
        <is>
          <t>Email appears on Golden Pages listing and in Facebook post title; Ballincollig address; Munster PV installer.</t>
        </is>
      </c>
      <c r="AJ221" s="2" t="inlineStr">
        <is>
          <t>Business listing + Facebook</t>
        </is>
      </c>
      <c r="AK221" s="2" t="inlineStr">
        <is>
          <t>High</t>
        </is>
      </c>
      <c r="AL221" s="2" t="inlineStr">
        <is>
          <t>Ready</t>
        </is>
      </c>
      <c r="AM221" s="2" t="inlineStr">
        <is>
          <t>Not Sent</t>
        </is>
      </c>
      <c r="AN221" s="2" t="n"/>
      <c r="AO221" s="2" t="inlineStr">
        <is>
          <t>Batch 3 | Email source: https://www.goldenpages.ie/clean-energy-solar-ballincollig-P31/</t>
        </is>
      </c>
    </row>
    <row r="222">
      <c r="A222" s="2" t="inlineStr"/>
      <c r="B222" s="2" t="inlineStr">
        <is>
          <t>Solar PV Energy</t>
        </is>
      </c>
      <c r="C222" s="2" t="inlineStr"/>
      <c r="D222" s="2" t="inlineStr"/>
      <c r="E222" s="2" t="inlineStr">
        <is>
          <t>info@solarpvenergy.ie</t>
        </is>
      </c>
      <c r="F222" s="2" t="inlineStr">
        <is>
          <t>Ireland</t>
        </is>
      </c>
      <c r="G222" s="2" t="inlineStr">
        <is>
          <t>Cork</t>
        </is>
      </c>
      <c r="H222" s="2" t="inlineStr">
        <is>
          <t>Charleville</t>
        </is>
      </c>
      <c r="I222" s="2" t="inlineStr">
        <is>
          <t>https://www.solarpvenergy.ie/</t>
        </is>
      </c>
      <c r="J222" s="2" t="inlineStr">
        <is>
          <t>Residential &amp; commercial solar installer</t>
        </is>
      </c>
      <c r="K222" s="2" t="inlineStr">
        <is>
          <t>Solar PV</t>
        </is>
      </c>
      <c r="L222" s="2" t="inlineStr">
        <is>
          <t>Residential, Commercial &amp; Agricultural</t>
        </is>
      </c>
      <c r="M222" s="2" t="inlineStr">
        <is>
          <t>Unknown</t>
        </is>
      </c>
      <c r="N222" s="2" t="inlineStr">
        <is>
          <t>Munster</t>
        </is>
      </c>
      <c r="O222" s="2" t="inlineStr">
        <is>
          <t>1 (Charleville, Co. Cork)</t>
        </is>
      </c>
      <c r="P222" s="2" t="inlineStr">
        <is>
          <t>Unknown</t>
        </is>
      </c>
      <c r="Q222" s="2" t="inlineStr">
        <is>
          <t>Yes</t>
        </is>
      </c>
      <c r="R222" s="2" t="inlineStr">
        <is>
          <t>Unknown</t>
        </is>
      </c>
      <c r="S222" s="2" t="inlineStr">
        <is>
          <t>Unknown</t>
        </is>
      </c>
      <c r="T222" s="2" t="inlineStr">
        <is>
          <t>Unknown</t>
        </is>
      </c>
      <c r="U222" s="2" t="inlineStr">
        <is>
          <t>Phone + email</t>
        </is>
      </c>
      <c r="V222" s="2" t="inlineStr">
        <is>
          <t>Website blog/news; case studies; Facebook</t>
        </is>
      </c>
      <c r="W222" s="2" t="inlineStr">
        <is>
          <t>None found</t>
        </is>
      </c>
      <c r="X222" s="2" t="inlineStr">
        <is>
          <t>Publishes customer case studies</t>
        </is>
      </c>
      <c r="Y222" s="2" t="inlineStr">
        <is>
          <t>Free on-site consultation before quote</t>
        </is>
      </c>
      <c r="Z222" s="2" t="inlineStr">
        <is>
          <t>Enquiries by phone/email leading to free on-site consultation</t>
        </is>
      </c>
      <c r="AA222" s="2" t="inlineStr">
        <is>
          <t>Site survey scheduling</t>
        </is>
      </c>
      <c r="AB222" s="2" t="inlineStr">
        <is>
          <t>Medium</t>
        </is>
      </c>
      <c r="AC222" s="2" t="inlineStr">
        <is>
          <t>You offer free, no-obligation on-site solar consultations to homes, farms and businesses in Munster.</t>
        </is>
      </c>
      <c r="AD222" s="2" t="inlineStr">
        <is>
          <t>Supports the site survey scheduling idea: Enquiries by phone/email leading to free on-site consultation</t>
        </is>
      </c>
      <c r="AE222" s="2" t="inlineStr">
        <is>
          <t>I was looking at your website and saw that you offer free, no-obligation on-site solar consultations to homes, farms and businesses in Munster.</t>
        </is>
      </c>
      <c r="AF222" s="2" t="inlineStr">
        <is>
          <t>Site survey scheduling idea</t>
        </is>
      </c>
      <c r="AG222" s="2" t="inlineStr">
        <is>
          <t>Hi Solar PV Energy team,
I was looking at your website and saw that you offer free, no-obligation on-site solar consultations to homes, farms and businesses in Munster.
I work with businesses on AI and workflow automation. For a solar company like Solar PV Energy, once a lead is qualified, a workflow could offer survey slots, confirm the address and roof details, send reminders and notify the surveyor.
It keeps surveys moving without someone chasing each one by phone.
Would it be useful if I showed you how this could work with your current setup?
Best,
[Sender Name]
AI Automation Specialist</t>
        </is>
      </c>
      <c r="AH222" s="2" t="inlineStr">
        <is>
          <t>https://www.solarpvenergy.ie/contact-us/</t>
        </is>
      </c>
      <c r="AI222" s="2" t="inlineStr">
        <is>
          <t>Exact-match search returned solarpvenergy.ie contact and blog pages with the address; Charleville-based; free on-site consultations (summary).</t>
        </is>
      </c>
      <c r="AJ222" s="2" t="inlineStr">
        <is>
          <t>Company website (contact page)</t>
        </is>
      </c>
      <c r="AK222" s="2" t="inlineStr">
        <is>
          <t>High</t>
        </is>
      </c>
      <c r="AL222" s="2" t="inlineStr">
        <is>
          <t>Ready</t>
        </is>
      </c>
      <c r="AM222" s="2" t="inlineStr">
        <is>
          <t>Not Sent</t>
        </is>
      </c>
      <c r="AN222" s="2" t="n"/>
      <c r="AO222" s="2" t="inlineStr">
        <is>
          <t>Batch 3 | A contact named Clodagh is listed, role unknown.</t>
        </is>
      </c>
    </row>
    <row r="223">
      <c r="A223" s="2" t="inlineStr"/>
      <c r="B223" s="2" t="inlineStr">
        <is>
          <t>Home &amp; Agri Energy</t>
        </is>
      </c>
      <c r="C223" s="2" t="inlineStr"/>
      <c r="D223" s="2" t="inlineStr"/>
      <c r="E223" s="2" t="inlineStr">
        <is>
          <t>info@homeandagrienergy.ie</t>
        </is>
      </c>
      <c r="F223" s="2" t="inlineStr">
        <is>
          <t>Ireland</t>
        </is>
      </c>
      <c r="G223" s="2" t="inlineStr">
        <is>
          <t>Tipperary</t>
        </is>
      </c>
      <c r="H223" s="2" t="inlineStr"/>
      <c r="I223" s="2" t="inlineStr">
        <is>
          <t>https://homeandagrienergy.ie/</t>
        </is>
      </c>
      <c r="J223" s="2" t="inlineStr">
        <is>
          <t>Residential &amp; agricultural solar installer</t>
        </is>
      </c>
      <c r="K223" s="2" t="inlineStr">
        <is>
          <t>Solar PV, farm solar, SEAI and TAMS III grant support</t>
        </is>
      </c>
      <c r="L223" s="2" t="inlineStr">
        <is>
          <t>Residential &amp; Agricultural</t>
        </is>
      </c>
      <c r="M223" s="2" t="inlineStr">
        <is>
          <t>2,000+ installations (per search summary)</t>
        </is>
      </c>
      <c r="N223" s="2" t="inlineStr">
        <is>
          <t>Tipperary, Cork, Limerick, Waterford</t>
        </is>
      </c>
      <c r="O223" s="2" t="inlineStr">
        <is>
          <t>1 (Co. Tipperary)</t>
        </is>
      </c>
      <c r="P223" s="2" t="inlineStr">
        <is>
          <t>Yes</t>
        </is>
      </c>
      <c r="Q223" s="2" t="inlineStr">
        <is>
          <t>Unknown</t>
        </is>
      </c>
      <c r="R223" s="2" t="inlineStr">
        <is>
          <t>Unknown</t>
        </is>
      </c>
      <c r="S223" s="2" t="inlineStr">
        <is>
          <t>Unknown</t>
        </is>
      </c>
      <c r="T223" s="2" t="inlineStr">
        <is>
          <t>Unknown</t>
        </is>
      </c>
      <c r="U223" s="2" t="inlineStr">
        <is>
          <t>Phone + email</t>
        </is>
      </c>
      <c r="V223" s="2" t="inlineStr">
        <is>
          <t>Website quote/contact page; Facebook; Golden Pages; Solarpanels.ie listing</t>
        </is>
      </c>
      <c r="W223" s="2" t="inlineStr">
        <is>
          <t>None found</t>
        </is>
      </c>
      <c r="X223" s="2" t="inlineStr">
        <is>
          <t>2,000+ installations and 180+ five-star reviews claimed</t>
        </is>
      </c>
      <c r="Y223" s="2" t="inlineStr">
        <is>
          <t>Grant-handling promise ('Claim Your Solar Grant with Ease')</t>
        </is>
      </c>
      <c r="Z223" s="2" t="inlineStr">
        <is>
          <t>Contact page quote request + manual grant paperwork</t>
        </is>
      </c>
      <c r="AA223" s="2" t="inlineStr">
        <is>
          <t>Quote request automation</t>
        </is>
      </c>
      <c r="AB223" s="2" t="inlineStr">
        <is>
          <t>High</t>
        </is>
      </c>
      <c r="AC223" s="2" t="inlineStr">
        <is>
          <t>Your contact page invites visitors to get a free solar PV quote today.</t>
        </is>
      </c>
      <c r="AD223" s="2" t="inlineStr">
        <is>
          <t>Supports the quote request automation idea: Contact page quote request + manual grant paperwork</t>
        </is>
      </c>
      <c r="AE223" s="2" t="inlineStr">
        <is>
          <t>I came across Home &amp; Agri Energy and noticed your contact page invites visitors to get a free solar PV quote today.</t>
        </is>
      </c>
      <c r="AF223" s="2" t="inlineStr">
        <is>
          <t>Quote requests at Home &amp; Agri Energy</t>
        </is>
      </c>
      <c r="AG223" s="2" t="inlineStr">
        <is>
          <t>Hi Home &amp; Agri Energy team,
I came across Home &amp; Agri Energy and noticed your contact page invites visitors to get a free solar PV quote today.
I work with businesses on AI and workflow automation. For a solar company like Home &amp; Agri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23" s="2" t="inlineStr">
        <is>
          <t>https://homeandagrienergy.ie/contact/</t>
        </is>
      </c>
      <c r="AI223" s="2" t="inlineStr">
        <is>
          <t>Contact page titled 'Get Free Solar PV Quote today'; exact-match email search returned company site pages; agricultural solar grants page.</t>
        </is>
      </c>
      <c r="AJ223" s="2" t="inlineStr">
        <is>
          <t>Company website (quote page)</t>
        </is>
      </c>
      <c r="AK223" s="2" t="inlineStr">
        <is>
          <t>High</t>
        </is>
      </c>
      <c r="AL223" s="2" t="inlineStr">
        <is>
          <t>Ready</t>
        </is>
      </c>
      <c r="AM223" s="2" t="inlineStr">
        <is>
          <t>Not Sent</t>
        </is>
      </c>
      <c r="AN223" s="2" t="n"/>
      <c r="AO223" s="2" t="inlineStr">
        <is>
          <t>Batch 3</t>
        </is>
      </c>
    </row>
    <row r="224">
      <c r="A224" s="2" t="inlineStr"/>
      <c r="B224" s="2" t="inlineStr">
        <is>
          <t>JFW Renewables</t>
        </is>
      </c>
      <c r="C224" s="2" t="inlineStr"/>
      <c r="D224" s="2" t="inlineStr"/>
      <c r="E224" s="2" t="inlineStr">
        <is>
          <t>info@jfwrenewables.ie</t>
        </is>
      </c>
      <c r="F224" s="2" t="inlineStr">
        <is>
          <t>Ireland</t>
        </is>
      </c>
      <c r="G224" s="2" t="inlineStr">
        <is>
          <t>Galway</t>
        </is>
      </c>
      <c r="H224" s="2" t="inlineStr">
        <is>
          <t>Loughrea</t>
        </is>
      </c>
      <c r="I224" s="2" t="inlineStr">
        <is>
          <t>https://jfwrenewables.ie/</t>
        </is>
      </c>
      <c r="J224" s="2" t="inlineStr">
        <is>
          <t>Residential &amp; commercial solar installer</t>
        </is>
      </c>
      <c r="K224" s="2" t="inlineStr">
        <is>
          <t>Solar PV, battery storage</t>
        </is>
      </c>
      <c r="L224" s="2" t="inlineStr">
        <is>
          <t>Residential, Commercial &amp; Agricultural</t>
        </is>
      </c>
      <c r="M224" s="2" t="inlineStr">
        <is>
          <t>Unknown</t>
        </is>
      </c>
      <c r="N224" s="2" t="inlineStr">
        <is>
          <t>Ireland-wide</t>
        </is>
      </c>
      <c r="O224" s="2" t="inlineStr">
        <is>
          <t>Head office Loughrea, Co. Galway</t>
        </is>
      </c>
      <c r="P224" s="2" t="inlineStr">
        <is>
          <t>Yes</t>
        </is>
      </c>
      <c r="Q224" s="2" t="inlineStr">
        <is>
          <t>Unknown</t>
        </is>
      </c>
      <c r="R224" s="2" t="inlineStr">
        <is>
          <t>Unknown</t>
        </is>
      </c>
      <c r="S224" s="2" t="inlineStr">
        <is>
          <t>Unknown</t>
        </is>
      </c>
      <c r="T224" s="2" t="inlineStr">
        <is>
          <t>Unknown</t>
        </is>
      </c>
      <c r="U224" s="2" t="inlineStr">
        <is>
          <t>Freephone 0818 470 928</t>
        </is>
      </c>
      <c r="V224" s="2" t="inlineStr">
        <is>
          <t>County landing pages (Cork, Galway); freephone; LinkedIn; Facebook</t>
        </is>
      </c>
      <c r="W224" s="2" t="inlineStr">
        <is>
          <t>Hiring (job openings reported locally)</t>
        </is>
      </c>
      <c r="X224" s="2" t="inlineStr">
        <is>
          <t>Nationwide coverage with per-county landing pages</t>
        </is>
      </c>
      <c r="Y224" s="2" t="inlineStr">
        <is>
          <t>None found</t>
        </is>
      </c>
      <c r="Z224" s="2" t="inlineStr">
        <is>
          <t>Free-quote requests from county SEO pages handled by phone</t>
        </is>
      </c>
      <c r="AA224" s="2" t="inlineStr">
        <is>
          <t>Lead routing</t>
        </is>
      </c>
      <c r="AB224" s="2" t="inlineStr">
        <is>
          <t>High</t>
        </is>
      </c>
      <c r="AC224" s="2" t="inlineStr">
        <is>
          <t>You run county-specific landing pages such as 'Solar Panels Cork' and 'Solar Panels Galway'.</t>
        </is>
      </c>
      <c r="AD224" s="2" t="inlineStr">
        <is>
          <t>Supports the lead routing idea: Free-quote requests from county SEO pages handled by phone</t>
        </is>
      </c>
      <c r="AE224" s="2" t="inlineStr">
        <is>
          <t>I noticed you run county-specific landing pages such as 'Solar Panels Cork' and 'Solar Panels Galway'.</t>
        </is>
      </c>
      <c r="AF224" s="2" t="inlineStr">
        <is>
          <t>Routing solar enquiries at JFW Renewables</t>
        </is>
      </c>
      <c r="AG224" s="2" t="inlineStr">
        <is>
          <t>Hi JFW Renewables team,
I noticed you run county-specific landing pages such as 'Solar Panels Cork' and 'Solar Panels Galway'.
I work with businesses on AI and workflow automation. For a solar company like JFW Renewables,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24" s="2" t="inlineStr">
        <is>
          <t>https://jfwrenewables.ie/contacts/</t>
        </is>
      </c>
      <c r="AI224" s="2" t="inlineStr">
        <is>
          <t>County pages jfwrenewables.ie/solar-panels-cork and /solar-panels-galway; job openings article on discoverloughrea.com; email per search summary only.</t>
        </is>
      </c>
      <c r="AJ224" s="2" t="inlineStr">
        <is>
          <t>Company website (location pages)</t>
        </is>
      </c>
      <c r="AK224" s="2" t="inlineStr">
        <is>
          <t>Medium</t>
        </is>
      </c>
      <c r="AL224" s="2" t="inlineStr">
        <is>
          <t>Review</t>
        </is>
      </c>
      <c r="AM224" s="2" t="inlineStr">
        <is>
          <t>Not Sent</t>
        </is>
      </c>
      <c r="AN224" s="2" t="n"/>
      <c r="AO224" s="2" t="inlineStr">
        <is>
          <t>Batch 3 | Email seen only in search summary; exact-match verification not run (search budget exhausted). | Email seen in search results but not independently corroborated; verify on website before sending.</t>
        </is>
      </c>
    </row>
    <row r="225">
      <c r="A225" s="2" t="inlineStr"/>
      <c r="B225" s="2" t="inlineStr">
        <is>
          <t>Solar Path</t>
        </is>
      </c>
      <c r="C225" s="2" t="inlineStr"/>
      <c r="D225" s="2" t="inlineStr"/>
      <c r="E225" s="2" t="inlineStr">
        <is>
          <t>sales@solarpath.ie</t>
        </is>
      </c>
      <c r="F225" s="2" t="inlineStr">
        <is>
          <t>Ireland</t>
        </is>
      </c>
      <c r="G225" s="2" t="inlineStr">
        <is>
          <t>Cork</t>
        </is>
      </c>
      <c r="H225" s="2" t="inlineStr">
        <is>
          <t>Cork</t>
        </is>
      </c>
      <c r="I225" s="2" t="inlineStr">
        <is>
          <t>https://www.solarpath.ie/</t>
        </is>
      </c>
      <c r="J225" s="2" t="inlineStr">
        <is>
          <t>Residential &amp; commercial solar installer</t>
        </is>
      </c>
      <c r="K225" s="2" t="inlineStr">
        <is>
          <t>Solar PV, SEAI grant support</t>
        </is>
      </c>
      <c r="L225" s="2" t="inlineStr">
        <is>
          <t>Residential, Commercial &amp; Agricultural</t>
        </is>
      </c>
      <c r="M225" s="2" t="inlineStr">
        <is>
          <t>Unknown</t>
        </is>
      </c>
      <c r="N225" s="2" t="inlineStr">
        <is>
          <t>Cork &amp; Ireland</t>
        </is>
      </c>
      <c r="O225" s="2" t="inlineStr">
        <is>
          <t>1 (82 South Mall, Cork)</t>
        </is>
      </c>
      <c r="P225" s="2" t="inlineStr">
        <is>
          <t>Unknown</t>
        </is>
      </c>
      <c r="Q225" s="2" t="inlineStr">
        <is>
          <t>Unknown</t>
        </is>
      </c>
      <c r="R225" s="2" t="inlineStr">
        <is>
          <t>Unknown</t>
        </is>
      </c>
      <c r="S225" s="2" t="inlineStr">
        <is>
          <t>Unknown</t>
        </is>
      </c>
      <c r="T225" s="2" t="inlineStr">
        <is>
          <t>Unknown</t>
        </is>
      </c>
      <c r="U225" s="2" t="inlineStr">
        <is>
          <t>Phone + email</t>
        </is>
      </c>
      <c r="V225" s="2" t="inlineStr">
        <is>
          <t>Website; local press features (TheCork.ie, Avondhu, Cork Independent); Facebook</t>
        </is>
      </c>
      <c r="W225" s="2" t="inlineStr">
        <is>
          <t>Uses a sales@ address</t>
        </is>
      </c>
      <c r="X225" s="2" t="inlineStr">
        <is>
          <t>40 reviews on Solar Info; regular press coverage</t>
        </is>
      </c>
      <c r="Y225" s="2" t="inlineStr">
        <is>
          <t>SEAI grant application support</t>
        </is>
      </c>
      <c r="Z225" s="2" t="inlineStr">
        <is>
          <t>Contact page enquiries to sales inbox</t>
        </is>
      </c>
      <c r="AA225" s="2" t="inlineStr">
        <is>
          <t>Email follow up</t>
        </is>
      </c>
      <c r="AB225" s="2" t="inlineStr">
        <is>
          <t>Medium</t>
        </is>
      </c>
      <c r="AC225" s="2" t="inlineStr">
        <is>
          <t>You were featured in TheCork.ie in August 2025 as a top-rated Cork solar installer.</t>
        </is>
      </c>
      <c r="AD225" s="2" t="inlineStr">
        <is>
          <t>Supports the email follow up idea: Contact page enquiries to sales inbox</t>
        </is>
      </c>
      <c r="AE225" s="2" t="inlineStr">
        <is>
          <t>I was looking at your website and saw that you were featured in TheCork.ie in August 2025 as a top-rated Cork solar installer.</t>
        </is>
      </c>
      <c r="AF225" s="2" t="inlineStr">
        <is>
          <t>Solar lead follow up idea</t>
        </is>
      </c>
      <c r="AG225" s="2" t="inlineStr">
        <is>
          <t>Hi Solar Path team,
I was looking at your website and saw that you were featured in TheCork.ie in August 2025 as a top-rated Cork solar installer.
I work with businesses on AI and workflow automation. For a solar company like Solar Path, a short email sequence could follow up on each enquiry, share relevant info on panels, batteries or financing, and hand warm replies to your team.
It keeps leads engaged without extra manual emails.
Would it be useful if I showed you how this could work with your current setup?
Best,
[Sender Name]
AI Automation Specialist</t>
        </is>
      </c>
      <c r="AH225" s="2" t="inlineStr">
        <is>
          <t>https://www.solarpath.ie/contact</t>
        </is>
      </c>
      <c r="AI225" s="2" t="inlineStr">
        <is>
          <t>Contact page in links; address on Golden Pages; press articles; email from search summary.</t>
        </is>
      </c>
      <c r="AJ225" s="2" t="inlineStr">
        <is>
          <t>Company website (contact page)</t>
        </is>
      </c>
      <c r="AK225" s="2" t="inlineStr">
        <is>
          <t>Medium</t>
        </is>
      </c>
      <c r="AL225" s="2" t="inlineStr">
        <is>
          <t>Review</t>
        </is>
      </c>
      <c r="AM225" s="2" t="inlineStr">
        <is>
          <t>Not Sent</t>
        </is>
      </c>
      <c r="AN225" s="2" t="n"/>
      <c r="AO225" s="2" t="inlineStr">
        <is>
          <t>Batch 3 | sales@solarpath.ie seen in search summary only; not exact-match verified. | Email seen in search results but not independently corroborated; verify on website before sending.</t>
        </is>
      </c>
    </row>
    <row r="226">
      <c r="A226" s="2" t="inlineStr"/>
      <c r="B226" s="2" t="inlineStr">
        <is>
          <t>PureVolt Solar</t>
        </is>
      </c>
      <c r="C226" s="2" t="inlineStr"/>
      <c r="D226" s="2" t="inlineStr"/>
      <c r="E226" s="2" t="inlineStr">
        <is>
          <t>hello@purevolt.ie</t>
        </is>
      </c>
      <c r="F226" s="2" t="inlineStr">
        <is>
          <t>Ireland</t>
        </is>
      </c>
      <c r="G226" s="2" t="inlineStr">
        <is>
          <t>Galway</t>
        </is>
      </c>
      <c r="H226" s="2" t="inlineStr">
        <is>
          <t>Galway</t>
        </is>
      </c>
      <c r="I226" s="2" t="inlineStr">
        <is>
          <t>https://www.purevolt.ie/</t>
        </is>
      </c>
      <c r="J226" s="2" t="inlineStr">
        <is>
          <t>Residential &amp; commercial solar installer</t>
        </is>
      </c>
      <c r="K226" s="2" t="inlineStr">
        <is>
          <t>Solar PV</t>
        </is>
      </c>
      <c r="L226" s="2" t="inlineStr">
        <is>
          <t>Residential &amp; Commercial</t>
        </is>
      </c>
      <c r="M226" s="2" t="inlineStr">
        <is>
          <t>Unknown</t>
        </is>
      </c>
      <c r="N226" s="2" t="inlineStr">
        <is>
          <t>Ireland (Galway, Dublin, Cork)</t>
        </is>
      </c>
      <c r="O226" s="2" t="inlineStr">
        <is>
          <t>Galway; Dublin; Cork (Marina Commercial Park per Golden Pages)</t>
        </is>
      </c>
      <c r="P226" s="2" t="inlineStr">
        <is>
          <t>Unknown</t>
        </is>
      </c>
      <c r="Q226" s="2" t="inlineStr">
        <is>
          <t>Unknown</t>
        </is>
      </c>
      <c r="R226" s="2" t="inlineStr">
        <is>
          <t>Unknown</t>
        </is>
      </c>
      <c r="S226" s="2" t="inlineStr">
        <is>
          <t>Unknown</t>
        </is>
      </c>
      <c r="T226" s="2" t="inlineStr">
        <is>
          <t>Unknown</t>
        </is>
      </c>
      <c r="U226" s="2" t="inlineStr">
        <is>
          <t>Phone + email; technical support function</t>
        </is>
      </c>
      <c r="V226" s="2" t="inlineStr">
        <is>
          <t>Website location pages; SEAI installer list page; Facebook; LinkedIn</t>
        </is>
      </c>
      <c r="W226" s="2" t="inlineStr">
        <is>
          <t>Has Head of Installations and Technical Support role (RocketReach)</t>
        </is>
      </c>
      <c r="X226" s="2" t="inlineStr">
        <is>
          <t>Multiple bases (Dublin, Galway, Cork)</t>
        </is>
      </c>
      <c r="Y226" s="2" t="inlineStr">
        <is>
          <t>None found</t>
        </is>
      </c>
      <c r="Z226" s="2" t="inlineStr">
        <is>
          <t>Multi-location enquiries via contact page</t>
        </is>
      </c>
      <c r="AA226" s="2" t="inlineStr">
        <is>
          <t>Lead routing</t>
        </is>
      </c>
      <c r="AB226" s="2" t="inlineStr">
        <is>
          <t>High</t>
        </is>
      </c>
      <c r="AC226" s="2" t="inlineStr">
        <is>
          <t>Your site publishes a list of all SEAI registered solar installers.</t>
        </is>
      </c>
      <c r="AD226" s="2" t="inlineStr">
        <is>
          <t>Supports the lead routing idea: Multi-location enquiries via contact page</t>
        </is>
      </c>
      <c r="AE226" s="2" t="inlineStr">
        <is>
          <t>I came across PureVolt Solar and noticed your site publishes a list of all SEAI registered solar installers.</t>
        </is>
      </c>
      <c r="AF226" s="2" t="inlineStr">
        <is>
          <t>Routing solar enquiries at PureVolt Solar</t>
        </is>
      </c>
      <c r="AG226" s="2" t="inlineStr">
        <is>
          <t>Hi PureVolt Solar team,
I came across PureVolt Solar and noticed your site publishes a list of all SEAI registered solar installers.
I work with businesses on AI and workflow automation. For a solar company like PureVolt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26" s="2" t="inlineStr">
        <is>
          <t>https://www.purevolt.ie/contact/index.php</t>
        </is>
      </c>
      <c r="AI226" s="2" t="inlineStr">
        <is>
          <t>Contact page, location pages and SEAI installer list on purevolt.ie; Cork address on Golden Pages.</t>
        </is>
      </c>
      <c r="AJ226" s="2" t="inlineStr">
        <is>
          <t>Company website (contact page)</t>
        </is>
      </c>
      <c r="AK226" s="2" t="inlineStr">
        <is>
          <t>Medium</t>
        </is>
      </c>
      <c r="AL226" s="2" t="inlineStr">
        <is>
          <t>Review</t>
        </is>
      </c>
      <c r="AM226" s="2" t="inlineStr">
        <is>
          <t>Not Sent</t>
        </is>
      </c>
      <c r="AN226" s="2" t="n"/>
      <c r="AO226" s="2" t="inlineStr">
        <is>
          <t>Batch 3 | hello@purevolt.ie from search summary only. | Email seen in search results but not independently corroborated; verify on website before sending.</t>
        </is>
      </c>
    </row>
    <row r="227">
      <c r="A227" s="2" t="inlineStr"/>
      <c r="B227" s="2" t="inlineStr">
        <is>
          <t>Kavanagh Solar</t>
        </is>
      </c>
      <c r="C227" s="2" t="inlineStr"/>
      <c r="D227" s="2" t="inlineStr"/>
      <c r="E227" s="2" t="inlineStr"/>
      <c r="F227" s="2" t="inlineStr">
        <is>
          <t>Ireland</t>
        </is>
      </c>
      <c r="G227" s="2" t="inlineStr">
        <is>
          <t>Galway</t>
        </is>
      </c>
      <c r="H227" s="2" t="inlineStr">
        <is>
          <t>Kinvara</t>
        </is>
      </c>
      <c r="I227" s="2" t="inlineStr">
        <is>
          <t>https://kavanaghsolar.ie/</t>
        </is>
      </c>
      <c r="J227" s="2" t="inlineStr">
        <is>
          <t>Residential, commercial &amp; agricultural solar installer</t>
        </is>
      </c>
      <c r="K227" s="2" t="inlineStr">
        <is>
          <t>Solar PV, farm solar (TAMS 3)</t>
        </is>
      </c>
      <c r="L227" s="2" t="inlineStr">
        <is>
          <t>Residential, Commercial &amp; Agricultural</t>
        </is>
      </c>
      <c r="M227" s="2" t="inlineStr">
        <is>
          <t>20+ years experience (site claim)</t>
        </is>
      </c>
      <c r="N227" s="2" t="inlineStr">
        <is>
          <t>Clare &amp; Galway</t>
        </is>
      </c>
      <c r="O227" s="2" t="inlineStr">
        <is>
          <t>1 (Trellick, Kinvara, Co. Galway)</t>
        </is>
      </c>
      <c r="P227" s="2" t="inlineStr">
        <is>
          <t>Unknown</t>
        </is>
      </c>
      <c r="Q227" s="2" t="inlineStr">
        <is>
          <t>Unknown</t>
        </is>
      </c>
      <c r="R227" s="2" t="inlineStr">
        <is>
          <t>Unknown</t>
        </is>
      </c>
      <c r="S227" s="2" t="inlineStr">
        <is>
          <t>Unknown</t>
        </is>
      </c>
      <c r="T227" s="2" t="inlineStr">
        <is>
          <t>Unknown</t>
        </is>
      </c>
      <c r="U227" s="2" t="inlineStr">
        <is>
          <t>Unknown</t>
        </is>
      </c>
      <c r="V227" s="2" t="inlineStr">
        <is>
          <t>Website; Golden Pages</t>
        </is>
      </c>
      <c r="W227" s="2" t="inlineStr">
        <is>
          <t>None found</t>
        </is>
      </c>
      <c r="X227" s="2" t="inlineStr">
        <is>
          <t>None found</t>
        </is>
      </c>
      <c r="Y227" s="2" t="inlineStr">
        <is>
          <t>Handles TAMS grant process for farms</t>
        </is>
      </c>
      <c r="Z227" s="2" t="inlineStr">
        <is>
          <t>Manual TAMS grant handling for farm clients</t>
        </is>
      </c>
      <c r="AA227" s="2" t="inlineStr">
        <is>
          <t>Document processing</t>
        </is>
      </c>
      <c r="AB227" s="2" t="inlineStr">
        <is>
          <t>Medium</t>
        </is>
      </c>
      <c r="AC227" s="2" t="inlineStr">
        <is>
          <t>Your site has a guide to the TAMS 3 grant for farm solar panels.</t>
        </is>
      </c>
      <c r="AD227" s="2" t="inlineStr">
        <is>
          <t>Supports the document processing idea: Manual TAMS grant handling for farm clients</t>
        </is>
      </c>
      <c r="AE227" s="2" t="inlineStr">
        <is>
          <t>I noticed your site has a guide to the TAMS 3 grant for farm solar panels.</t>
        </is>
      </c>
      <c r="AF227" s="2" t="inlineStr">
        <is>
          <t>A document workflow idea for Kavanagh Solar</t>
        </is>
      </c>
      <c r="AG227" s="2" t="inlineStr">
        <is>
          <t>Hi Kavanagh Solar team,
I noticed your site has a guide to the TAMS 3 grant for farm solar panels.
I work with businesses on AI and workflow automation. For a solar company like Kavanagh Solar, documents like utility bills, finance applications and site survey forms could be read automatically and the key details sent into your system.
It removes a lot of manual checking and retyping.
Would it be useful if I showed you how this could work with your current setup?
Best,
[Sender Name]
AI Automation Specialist</t>
        </is>
      </c>
      <c r="AH227" s="2" t="inlineStr">
        <is>
          <t>https://kavanaghsolar.ie/tams-grant-solar-pv-panels-for-farms-in-ireland/</t>
        </is>
      </c>
      <c r="AI227" s="2" t="inlineStr">
        <is>
          <t>kavanaghsolar.ie home, commercial and TAMS pages in results; Kinvara address on Golden Pages.</t>
        </is>
      </c>
      <c r="AJ227" s="2" t="inlineStr">
        <is>
          <t>Company website</t>
        </is>
      </c>
      <c r="AK227" s="2" t="inlineStr">
        <is>
          <t>Medium</t>
        </is>
      </c>
      <c r="AL227" s="2" t="inlineStr">
        <is>
          <t>Reject</t>
        </is>
      </c>
      <c r="AM227" s="2" t="inlineStr">
        <is>
          <t>Not Sent</t>
        </is>
      </c>
      <c r="AN227" s="2" t="n"/>
      <c r="AO227" s="2" t="inlineStr">
        <is>
          <t>Batch 3 | No email found. | No publicly verified business email found.</t>
        </is>
      </c>
    </row>
    <row r="228">
      <c r="A228" s="2" t="inlineStr"/>
      <c r="B228" s="2" t="inlineStr">
        <is>
          <t>KM Solar</t>
        </is>
      </c>
      <c r="C228" s="2" t="inlineStr"/>
      <c r="D228" s="2" t="inlineStr"/>
      <c r="E228" s="2" t="inlineStr"/>
      <c r="F228" s="2" t="inlineStr">
        <is>
          <t>Ireland</t>
        </is>
      </c>
      <c r="G228" s="2" t="inlineStr">
        <is>
          <t>Galway</t>
        </is>
      </c>
      <c r="H228" s="2" t="inlineStr">
        <is>
          <t>Tuam</t>
        </is>
      </c>
      <c r="I228" s="2" t="inlineStr">
        <is>
          <t>https://kmsolar.ie/</t>
        </is>
      </c>
      <c r="J228" s="2" t="inlineStr">
        <is>
          <t>Solar installer</t>
        </is>
      </c>
      <c r="K228" s="2" t="inlineStr">
        <is>
          <t>Solar PV</t>
        </is>
      </c>
      <c r="L228" s="2" t="inlineStr">
        <is>
          <t>Unknown</t>
        </is>
      </c>
      <c r="M228" s="2" t="inlineStr">
        <is>
          <t>Unknown</t>
        </is>
      </c>
      <c r="N228" s="2" t="inlineStr">
        <is>
          <t>Ireland</t>
        </is>
      </c>
      <c r="O228" s="2" t="inlineStr">
        <is>
          <t>1 (Unit 54, N17 Business Park, Tuam)</t>
        </is>
      </c>
      <c r="P228" s="2" t="inlineStr">
        <is>
          <t>Unknown</t>
        </is>
      </c>
      <c r="Q228" s="2" t="inlineStr">
        <is>
          <t>Unknown</t>
        </is>
      </c>
      <c r="R228" s="2" t="inlineStr">
        <is>
          <t>Unknown</t>
        </is>
      </c>
      <c r="S228" s="2" t="inlineStr">
        <is>
          <t>Unknown</t>
        </is>
      </c>
      <c r="T228" s="2" t="inlineStr">
        <is>
          <t>Unknown</t>
        </is>
      </c>
      <c r="U228" s="2" t="inlineStr">
        <is>
          <t>Unknown</t>
        </is>
      </c>
      <c r="V228" s="2" t="inlineStr"/>
      <c r="W228" s="2" t="inlineStr">
        <is>
          <t>None found</t>
        </is>
      </c>
      <c r="X228" s="2" t="inlineStr">
        <is>
          <t>None found</t>
        </is>
      </c>
      <c r="Y228" s="2" t="inlineStr">
        <is>
          <t>None found</t>
        </is>
      </c>
      <c r="Z228" s="2" t="inlineStr">
        <is>
          <t>Website enquiries</t>
        </is>
      </c>
      <c r="AA228" s="2" t="inlineStr">
        <is>
          <t>Quote request automation</t>
        </is>
      </c>
      <c r="AB228" s="2" t="inlineStr">
        <is>
          <t>Low</t>
        </is>
      </c>
      <c r="AC228" s="2" t="inlineStr">
        <is>
          <t>You are based in the N17 Business Park in Tuam, Co. Galway.</t>
        </is>
      </c>
      <c r="AD228" s="2" t="inlineStr">
        <is>
          <t>Supports the quote request automation idea: Website enquiries</t>
        </is>
      </c>
      <c r="AE228" s="2" t="inlineStr">
        <is>
          <t>I was looking at your website and saw that you are based in the N17 Business Park in Tuam, Co. Galway.</t>
        </is>
      </c>
      <c r="AF228" s="2" t="inlineStr">
        <is>
          <t>A solar quote workflow idea</t>
        </is>
      </c>
      <c r="AG228" s="2" t="inlineStr">
        <is>
          <t>Hi KM Solar team,
I was looking at your website and saw that you are based in the N17 Business Park in Tuam, Co. Galway.
I work with businesses on AI and workflow automation. For a solar company like KM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28" s="2" t="inlineStr">
        <is>
          <t>https://kmsolar.ie/</t>
        </is>
      </c>
      <c r="AI228" s="2" t="inlineStr">
        <is>
          <t>kmsolar.ie in Galway installer results; address from search summary.</t>
        </is>
      </c>
      <c r="AJ228" s="2" t="inlineStr">
        <is>
          <t>Company website</t>
        </is>
      </c>
      <c r="AK228" s="2" t="inlineStr">
        <is>
          <t>Low</t>
        </is>
      </c>
      <c r="AL228" s="2" t="inlineStr">
        <is>
          <t>Reject</t>
        </is>
      </c>
      <c r="AM228" s="2" t="inlineStr">
        <is>
          <t>Not Sent</t>
        </is>
      </c>
      <c r="AN228" s="2" t="n"/>
      <c r="AO228" s="2" t="inlineStr">
        <is>
          <t>Batch 3 | No email found; little detail. | No publicly verified business email found.</t>
        </is>
      </c>
    </row>
    <row r="229">
      <c r="A229" s="2" t="inlineStr"/>
      <c r="B229" s="2" t="inlineStr">
        <is>
          <t>NuSolas Energy</t>
        </is>
      </c>
      <c r="C229" s="2" t="inlineStr"/>
      <c r="D229" s="2" t="inlineStr"/>
      <c r="E229" s="2" t="inlineStr"/>
      <c r="F229" s="2" t="inlineStr">
        <is>
          <t>Ireland</t>
        </is>
      </c>
      <c r="G229" s="2" t="inlineStr">
        <is>
          <t>Galway</t>
        </is>
      </c>
      <c r="H229" s="2" t="inlineStr"/>
      <c r="I229" s="2" t="inlineStr">
        <is>
          <t>https://nusolas.com/</t>
        </is>
      </c>
      <c r="J229" s="2" t="inlineStr">
        <is>
          <t>Solar installer</t>
        </is>
      </c>
      <c r="K229" s="2" t="inlineStr">
        <is>
          <t>Solar PV</t>
        </is>
      </c>
      <c r="L229" s="2" t="inlineStr">
        <is>
          <t>Residential</t>
        </is>
      </c>
      <c r="M229" s="2" t="inlineStr">
        <is>
          <t>Unknown</t>
        </is>
      </c>
      <c r="N229" s="2" t="inlineStr">
        <is>
          <t>Galway and beyond</t>
        </is>
      </c>
      <c r="O229" s="2" t="inlineStr">
        <is>
          <t>Unknown</t>
        </is>
      </c>
      <c r="P229" s="2" t="inlineStr">
        <is>
          <t>Unknown</t>
        </is>
      </c>
      <c r="Q229" s="2" t="inlineStr">
        <is>
          <t>Unknown</t>
        </is>
      </c>
      <c r="R229" s="2" t="inlineStr">
        <is>
          <t>Unknown</t>
        </is>
      </c>
      <c r="S229" s="2" t="inlineStr">
        <is>
          <t>Yes</t>
        </is>
      </c>
      <c r="T229" s="2" t="inlineStr">
        <is>
          <t>Unknown</t>
        </is>
      </c>
      <c r="U229" s="2" t="inlineStr">
        <is>
          <t>Contact form + phone; 2-4 hour response claim</t>
        </is>
      </c>
      <c r="V229" s="2" t="inlineStr">
        <is>
          <t>Website service/location pages</t>
        </is>
      </c>
      <c r="W229" s="2" t="inlineStr">
        <is>
          <t>Promises response within 2-4 hours</t>
        </is>
      </c>
      <c r="X229" s="2" t="inlineStr">
        <is>
          <t>None found</t>
        </is>
      </c>
      <c r="Y229" s="2" t="inlineStr">
        <is>
          <t>None found</t>
        </is>
      </c>
      <c r="Z229" s="2" t="inlineStr">
        <is>
          <t>Contact form with fast manual callback</t>
        </is>
      </c>
      <c r="AA229" s="2" t="inlineStr">
        <is>
          <t>Missed lead recovery</t>
        </is>
      </c>
      <c r="AB229" s="2" t="inlineStr">
        <is>
          <t>Medium</t>
        </is>
      </c>
      <c r="AC229" s="2" t="inlineStr">
        <is>
          <t>Your Galway page promises a response within 2-4 hours of contact.</t>
        </is>
      </c>
      <c r="AD229" s="2" t="inlineStr">
        <is>
          <t>Supports the missed lead recovery idea: Contact form with fast manual callback</t>
        </is>
      </c>
      <c r="AE229" s="2" t="inlineStr">
        <is>
          <t>I came across NuSolas Energy and noticed your Galway page promises a response within 2-4 hours of contact.</t>
        </is>
      </c>
      <c r="AF229" s="2" t="inlineStr">
        <is>
          <t>Solar lead follow up idea</t>
        </is>
      </c>
      <c r="AG229" s="2" t="inlineStr">
        <is>
          <t>Hi NuSolas Energy team,
I came across NuSolas Energy and noticed your Galway page promises a response within 2-4 hours of contact.
I work with businesses on AI and workflow automation. For a solar company like NuSolas Energy,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229" s="2" t="inlineStr">
        <is>
          <t>https://nusolas.com/services/solar-panels-galway</t>
        </is>
      </c>
      <c r="AI229" s="2" t="inlineStr">
        <is>
          <t>nusolas.com/services/solar-panels-galway; summary notes form contact and 2-4h response.</t>
        </is>
      </c>
      <c r="AJ229" s="2" t="inlineStr">
        <is>
          <t>Company website (service page)</t>
        </is>
      </c>
      <c r="AK229" s="2" t="inlineStr">
        <is>
          <t>Medium</t>
        </is>
      </c>
      <c r="AL229" s="2" t="inlineStr">
        <is>
          <t>Reject</t>
        </is>
      </c>
      <c r="AM229" s="2" t="inlineStr">
        <is>
          <t>Not Sent</t>
        </is>
      </c>
      <c r="AN229" s="2" t="n"/>
      <c r="AO229" s="2" t="inlineStr">
        <is>
          <t>Batch 3 | No email found; HQ city unverified. | No publicly verified business email found.</t>
        </is>
      </c>
    </row>
    <row r="230">
      <c r="A230" s="2" t="inlineStr"/>
      <c r="B230" s="2" t="inlineStr">
        <is>
          <t>Wizer Energy</t>
        </is>
      </c>
      <c r="C230" s="2" t="inlineStr"/>
      <c r="D230" s="2" t="inlineStr"/>
      <c r="E230" s="2" t="inlineStr"/>
      <c r="F230" s="2" t="inlineStr">
        <is>
          <t>Ireland</t>
        </is>
      </c>
      <c r="G230" s="2" t="inlineStr"/>
      <c r="H230" s="2" t="inlineStr"/>
      <c r="I230" s="2" t="inlineStr">
        <is>
          <t>https://wizerenergy.ie/</t>
        </is>
      </c>
      <c r="J230" s="2" t="inlineStr">
        <is>
          <t>Residential solar installer</t>
        </is>
      </c>
      <c r="K230" s="2" t="inlineStr">
        <is>
          <t>Solar PV</t>
        </is>
      </c>
      <c r="L230" s="2" t="inlineStr">
        <is>
          <t>Residential</t>
        </is>
      </c>
      <c r="M230" s="2" t="inlineStr">
        <is>
          <t>Unknown</t>
        </is>
      </c>
      <c r="N230" s="2" t="inlineStr">
        <is>
          <t>Includes Galway</t>
        </is>
      </c>
      <c r="O230" s="2" t="inlineStr">
        <is>
          <t>Unknown</t>
        </is>
      </c>
      <c r="P230" s="2" t="inlineStr">
        <is>
          <t>Unknown</t>
        </is>
      </c>
      <c r="Q230" s="2" t="inlineStr">
        <is>
          <t>Unknown</t>
        </is>
      </c>
      <c r="R230" s="2" t="inlineStr">
        <is>
          <t>Unknown</t>
        </is>
      </c>
      <c r="S230" s="2" t="inlineStr">
        <is>
          <t>Unknown</t>
        </is>
      </c>
      <c r="T230" s="2" t="inlineStr">
        <is>
          <t>Unknown</t>
        </is>
      </c>
      <c r="U230" s="2" t="inlineStr">
        <is>
          <t>Unknown</t>
        </is>
      </c>
      <c r="V230" s="2" t="inlineStr">
        <is>
          <t>County landing pages</t>
        </is>
      </c>
      <c r="W230" s="2" t="inlineStr">
        <is>
          <t>None found</t>
        </is>
      </c>
      <c r="X230" s="2" t="inlineStr">
        <is>
          <t>None found</t>
        </is>
      </c>
      <c r="Y230" s="2" t="inlineStr">
        <is>
          <t>None found</t>
        </is>
      </c>
      <c r="Z230" s="2" t="inlineStr">
        <is>
          <t>Location-page enquiries</t>
        </is>
      </c>
      <c r="AA230" s="2" t="inlineStr">
        <is>
          <t>Lead qualification chatbot</t>
        </is>
      </c>
      <c r="AB230" s="2" t="inlineStr">
        <is>
          <t>Low</t>
        </is>
      </c>
      <c r="AC230" s="2" t="inlineStr">
        <is>
          <t>Your Galway page describes you as a leading domestic solar panel installation company.</t>
        </is>
      </c>
      <c r="AD230" s="2" t="inlineStr">
        <is>
          <t>Supports the lead qualification chatbot idea: Location-page enquiries</t>
        </is>
      </c>
      <c r="AE230" s="2" t="inlineStr">
        <is>
          <t>I noticed your Galway page describes you as a leading domestic solar panel installation company.</t>
        </is>
      </c>
      <c r="AF230" s="2" t="inlineStr">
        <is>
          <t>Qualifying solar enquiries at Wizer Energy</t>
        </is>
      </c>
      <c r="AG230" s="2" t="inlineStr">
        <is>
          <t>Hi Wizer Energy team,
I noticed your Galway page describes you as a leading domestic solar panel installation company.
I work with businesses on AI and workflow automation. For a solar company like Wizer Energy,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230" s="2" t="inlineStr">
        <is>
          <t>https://wizerenergy.ie/solar-panels-galway/</t>
        </is>
      </c>
      <c r="AI230" s="2" t="inlineStr">
        <is>
          <t>Page title 'Solar Panels Galway - Leading Domestic Solar Panel Installation Company'.</t>
        </is>
      </c>
      <c r="AJ230" s="2" t="inlineStr">
        <is>
          <t>Company website (location page)</t>
        </is>
      </c>
      <c r="AK230" s="2" t="inlineStr">
        <is>
          <t>Low</t>
        </is>
      </c>
      <c r="AL230" s="2" t="inlineStr">
        <is>
          <t>Reject</t>
        </is>
      </c>
      <c r="AM230" s="2" t="inlineStr">
        <is>
          <t>Not Sent</t>
        </is>
      </c>
      <c r="AN230" s="2" t="n"/>
      <c r="AO230" s="2" t="inlineStr">
        <is>
          <t>Batch 3 | No email; HQ unknown. | No publicly verified business email found.</t>
        </is>
      </c>
    </row>
    <row r="231">
      <c r="A231" s="2" t="inlineStr"/>
      <c r="B231" s="2" t="inlineStr">
        <is>
          <t>K Higgins Electrical &amp; Solar PV</t>
        </is>
      </c>
      <c r="C231" s="2" t="inlineStr"/>
      <c r="D231" s="2" t="inlineStr"/>
      <c r="E231" s="2" t="inlineStr"/>
      <c r="F231" s="2" t="inlineStr">
        <is>
          <t>Ireland</t>
        </is>
      </c>
      <c r="G231" s="2" t="inlineStr">
        <is>
          <t>Galway</t>
        </is>
      </c>
      <c r="H231" s="2" t="inlineStr"/>
      <c r="I231" s="2" t="inlineStr">
        <is>
          <t>https://khigginselectrical.ie/</t>
        </is>
      </c>
      <c r="J231" s="2" t="inlineStr">
        <is>
          <t>Electrical contractor + solar installer</t>
        </is>
      </c>
      <c r="K231" s="2" t="inlineStr">
        <is>
          <t>Solar PV, electrical</t>
        </is>
      </c>
      <c r="L231" s="2" t="inlineStr">
        <is>
          <t>Residential</t>
        </is>
      </c>
      <c r="M231" s="2" t="inlineStr">
        <is>
          <t>Unknown</t>
        </is>
      </c>
      <c r="N231" s="2" t="inlineStr">
        <is>
          <t>Galway, Clare, Tipperary, Roscommon</t>
        </is>
      </c>
      <c r="O231" s="2" t="inlineStr">
        <is>
          <t>Unknown</t>
        </is>
      </c>
      <c r="P231" s="2" t="inlineStr">
        <is>
          <t>Unknown</t>
        </is>
      </c>
      <c r="Q231" s="2" t="inlineStr">
        <is>
          <t>Unknown</t>
        </is>
      </c>
      <c r="R231" s="2" t="inlineStr">
        <is>
          <t>Unknown</t>
        </is>
      </c>
      <c r="S231" s="2" t="inlineStr">
        <is>
          <t>Unknown</t>
        </is>
      </c>
      <c r="T231" s="2" t="inlineStr">
        <is>
          <t>Unknown</t>
        </is>
      </c>
      <c r="U231" s="2" t="inlineStr">
        <is>
          <t>Mobile phone</t>
        </is>
      </c>
      <c r="V231" s="2" t="inlineStr"/>
      <c r="W231" s="2" t="inlineStr">
        <is>
          <t>None found</t>
        </is>
      </c>
      <c r="X231" s="2" t="inlineStr">
        <is>
          <t>None found</t>
        </is>
      </c>
      <c r="Y231" s="2" t="inlineStr">
        <is>
          <t>None found</t>
        </is>
      </c>
      <c r="Z231" s="2" t="inlineStr">
        <is>
          <t>Phone-based enquiries</t>
        </is>
      </c>
      <c r="AA231" s="2" t="inlineStr">
        <is>
          <t>Missed lead recovery</t>
        </is>
      </c>
      <c r="AB231" s="2" t="inlineStr">
        <is>
          <t>Low</t>
        </is>
      </c>
      <c r="AC231" s="2" t="inlineStr">
        <is>
          <t>Your solar page targets Galway, Clare, Tipperary and Roscommon.</t>
        </is>
      </c>
      <c r="AD231" s="2" t="inlineStr">
        <is>
          <t>Supports the missed lead recovery idea: Phone-based enquiries</t>
        </is>
      </c>
      <c r="AE231" s="2" t="inlineStr">
        <is>
          <t>I was looking at your website and saw that your solar page targets Galway, Clare, Tipperary and Roscommon.</t>
        </is>
      </c>
      <c r="AF231" s="2" t="inlineStr">
        <is>
          <t>Solar lead follow up idea</t>
        </is>
      </c>
      <c r="AG231" s="2" t="inlineStr">
        <is>
          <t>Hi K Higgins Electrical &amp; Solar PV team,
I was looking at your website and saw that your solar page targets Galway, Clare, Tipperary and Roscommon.
I work with businesses on AI and workflow automation. For a solar company like K Higgins Electrical &amp; Solar PV,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231" s="2" t="inlineStr">
        <is>
          <t>https://khigginselectrical.ie/services/solar-panels/</t>
        </is>
      </c>
      <c r="AI231" s="2" t="inlineStr">
        <is>
          <t>Page title lists Galway - Clare - Tipperary - Roscommon.</t>
        </is>
      </c>
      <c r="AJ231" s="2" t="inlineStr">
        <is>
          <t>Company website (service page)</t>
        </is>
      </c>
      <c r="AK231" s="2" t="inlineStr">
        <is>
          <t>Low</t>
        </is>
      </c>
      <c r="AL231" s="2" t="inlineStr">
        <is>
          <t>Reject</t>
        </is>
      </c>
      <c r="AM231" s="2" t="inlineStr">
        <is>
          <t>Not Sent</t>
        </is>
      </c>
      <c r="AN231" s="2" t="n"/>
      <c r="AO231" s="2" t="inlineStr">
        <is>
          <t>Batch 3 | No email; county of HQ assumed Galway from search context. | No publicly verified business email found.</t>
        </is>
      </c>
    </row>
    <row r="232">
      <c r="A232" s="2" t="inlineStr"/>
      <c r="B232" s="2" t="inlineStr">
        <is>
          <t>S McGrath Electrical</t>
        </is>
      </c>
      <c r="C232" s="2" t="inlineStr"/>
      <c r="D232" s="2" t="inlineStr"/>
      <c r="E232" s="2" t="inlineStr"/>
      <c r="F232" s="2" t="inlineStr">
        <is>
          <t>Ireland</t>
        </is>
      </c>
      <c r="G232" s="2" t="inlineStr">
        <is>
          <t>Galway</t>
        </is>
      </c>
      <c r="H232" s="2" t="inlineStr"/>
      <c r="I232" s="2" t="inlineStr">
        <is>
          <t>https://www.smcgrathelectrical.ie/</t>
        </is>
      </c>
      <c r="J232" s="2" t="inlineStr">
        <is>
          <t>Solar &amp; battery installer</t>
        </is>
      </c>
      <c r="K232" s="2" t="inlineStr">
        <is>
          <t>Solar PV, battery storage, EV chargers</t>
        </is>
      </c>
      <c r="L232" s="2" t="inlineStr">
        <is>
          <t>Residential</t>
        </is>
      </c>
      <c r="M232" s="2" t="inlineStr">
        <is>
          <t>16+ years electrical experience (site claim)</t>
        </is>
      </c>
      <c r="N232" s="2" t="inlineStr">
        <is>
          <t>Galway</t>
        </is>
      </c>
      <c r="O232" s="2" t="inlineStr">
        <is>
          <t>Unknown</t>
        </is>
      </c>
      <c r="P232" s="2" t="inlineStr">
        <is>
          <t>Unknown</t>
        </is>
      </c>
      <c r="Q232" s="2" t="inlineStr">
        <is>
          <t>Unknown</t>
        </is>
      </c>
      <c r="R232" s="2" t="inlineStr">
        <is>
          <t>Unknown</t>
        </is>
      </c>
      <c r="S232" s="2" t="inlineStr">
        <is>
          <t>Unknown</t>
        </is>
      </c>
      <c r="T232" s="2" t="inlineStr">
        <is>
          <t>Unknown</t>
        </is>
      </c>
      <c r="U232" s="2" t="inlineStr">
        <is>
          <t>Unknown</t>
        </is>
      </c>
      <c r="V232" s="2" t="inlineStr"/>
      <c r="W232" s="2" t="inlineStr">
        <is>
          <t>None found</t>
        </is>
      </c>
      <c r="X232" s="2" t="inlineStr">
        <is>
          <t>None found</t>
        </is>
      </c>
      <c r="Y232" s="2" t="inlineStr">
        <is>
          <t>None found</t>
        </is>
      </c>
      <c r="Z232" s="2" t="inlineStr">
        <is>
          <t>Website/phone enquiries</t>
        </is>
      </c>
      <c r="AA232" s="2" t="inlineStr">
        <is>
          <t>Quote request automation</t>
        </is>
      </c>
      <c r="AB232" s="2" t="inlineStr">
        <is>
          <t>Low</t>
        </is>
      </c>
      <c r="AC232" s="2" t="inlineStr">
        <is>
          <t>Your site brands you as top-rated Galway solar PV installers with 16+ years of electrical experience.</t>
        </is>
      </c>
      <c r="AD232" s="2" t="inlineStr">
        <is>
          <t>Supports the quote request automation idea: Website/phone enquiries</t>
        </is>
      </c>
      <c r="AE232" s="2" t="inlineStr">
        <is>
          <t>I came across S McGrath Electrical and noticed your site brands you as top-rated Galway solar PV installers with 16+ years of electrical experience.</t>
        </is>
      </c>
      <c r="AF232" s="2" t="inlineStr">
        <is>
          <t>A solar quote workflow idea</t>
        </is>
      </c>
      <c r="AG232" s="2" t="inlineStr">
        <is>
          <t>Hi S McGrath Electrical team,
I came across S McGrath Electrical and noticed your site brands you as top-rated Galway solar PV installers with 16+ years of electrical experience.
I work with businesses on AI and workflow automation. For a solar company like S McGrath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32" s="2" t="inlineStr">
        <is>
          <t>https://www.smcgrathelectrical.ie/</t>
        </is>
      </c>
      <c r="AI232" s="2" t="inlineStr">
        <is>
          <t>Title 'Solar PV Galway Installers | Top Rated Solar Experts 2026!'; solar, battery, EV per summary.</t>
        </is>
      </c>
      <c r="AJ232" s="2" t="inlineStr">
        <is>
          <t>Company website</t>
        </is>
      </c>
      <c r="AK232" s="2" t="inlineStr">
        <is>
          <t>Medium</t>
        </is>
      </c>
      <c r="AL232" s="2" t="inlineStr">
        <is>
          <t>Reject</t>
        </is>
      </c>
      <c r="AM232" s="2" t="inlineStr">
        <is>
          <t>Not Sent</t>
        </is>
      </c>
      <c r="AN232" s="2" t="n"/>
      <c r="AO232" s="2" t="inlineStr">
        <is>
          <t>Batch 3 | No email found. | No publicly verified business email found.</t>
        </is>
      </c>
    </row>
    <row r="233">
      <c r="A233" s="2" t="inlineStr"/>
      <c r="B233" s="2" t="inlineStr">
        <is>
          <t>Solar Panels Galway</t>
        </is>
      </c>
      <c r="C233" s="2" t="inlineStr"/>
      <c r="D233" s="2" t="inlineStr"/>
      <c r="E233" s="2" t="inlineStr"/>
      <c r="F233" s="2" t="inlineStr">
        <is>
          <t>Ireland</t>
        </is>
      </c>
      <c r="G233" s="2" t="inlineStr">
        <is>
          <t>Galway</t>
        </is>
      </c>
      <c r="H233" s="2" t="inlineStr">
        <is>
          <t>Galway</t>
        </is>
      </c>
      <c r="I233" s="2" t="inlineStr">
        <is>
          <t>https://solarpanelsgalway.ie/</t>
        </is>
      </c>
      <c r="J233" s="2" t="inlineStr">
        <is>
          <t>Residential solar installer</t>
        </is>
      </c>
      <c r="K233" s="2" t="inlineStr">
        <is>
          <t>Solar PV</t>
        </is>
      </c>
      <c r="L233" s="2" t="inlineStr">
        <is>
          <t>Residential</t>
        </is>
      </c>
      <c r="M233" s="2" t="inlineStr">
        <is>
          <t>Unknown</t>
        </is>
      </c>
      <c r="N233" s="2" t="inlineStr">
        <is>
          <t>Galway</t>
        </is>
      </c>
      <c r="O233" s="2" t="inlineStr">
        <is>
          <t>Unknown</t>
        </is>
      </c>
      <c r="P233" s="2" t="inlineStr">
        <is>
          <t>Unknown</t>
        </is>
      </c>
      <c r="Q233" s="2" t="inlineStr">
        <is>
          <t>Unknown</t>
        </is>
      </c>
      <c r="R233" s="2" t="inlineStr">
        <is>
          <t>Unknown</t>
        </is>
      </c>
      <c r="S233" s="2" t="inlineStr">
        <is>
          <t>Unknown</t>
        </is>
      </c>
      <c r="T233" s="2" t="inlineStr">
        <is>
          <t>Unknown</t>
        </is>
      </c>
      <c r="U233" s="2" t="inlineStr">
        <is>
          <t>Unknown</t>
        </is>
      </c>
      <c r="V233" s="2" t="inlineStr"/>
      <c r="W233" s="2" t="inlineStr">
        <is>
          <t>None found</t>
        </is>
      </c>
      <c r="X233" s="2" t="inlineStr">
        <is>
          <t>None found</t>
        </is>
      </c>
      <c r="Y233" s="2" t="inlineStr">
        <is>
          <t>None found</t>
        </is>
      </c>
      <c r="Z233" s="2" t="inlineStr">
        <is>
          <t>Website enquiries</t>
        </is>
      </c>
      <c r="AA233" s="2" t="inlineStr">
        <is>
          <t>Lead qualification chatbot</t>
        </is>
      </c>
      <c r="AB233" s="2" t="inlineStr">
        <is>
          <t>Low</t>
        </is>
      </c>
      <c r="AC233" s="2" t="inlineStr">
        <is>
          <t>Your site presents you as Galway's expert local solar installer.</t>
        </is>
      </c>
      <c r="AD233" s="2" t="inlineStr">
        <is>
          <t>Supports the lead qualification chatbot idea: Website enquiries</t>
        </is>
      </c>
      <c r="AE233" s="2" t="inlineStr">
        <is>
          <t>I noticed your site presents you as Galway's expert local solar installer.</t>
        </is>
      </c>
      <c r="AF233" s="2" t="inlineStr">
        <is>
          <t>A lead qualification idea for Solar Panels Galway</t>
        </is>
      </c>
      <c r="AG233" s="2" t="inlineStr">
        <is>
          <t>Hi Solar Panels Galway team,
I noticed your site presents you as Galway's expert local solar installer.
I work with businesses on AI and workflow automation. For a solar company like Solar Panels Galway,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233" s="2" t="inlineStr">
        <is>
          <t>https://solarpanelsgalway.ie/</t>
        </is>
      </c>
      <c r="AI233" s="2" t="inlineStr">
        <is>
          <t>Title 'Solar Panels Galway | Your Expert Local Solar Installer'.</t>
        </is>
      </c>
      <c r="AJ233" s="2" t="inlineStr">
        <is>
          <t>Company website</t>
        </is>
      </c>
      <c r="AK233" s="2" t="inlineStr">
        <is>
          <t>Low</t>
        </is>
      </c>
      <c r="AL233" s="2" t="inlineStr">
        <is>
          <t>Reject</t>
        </is>
      </c>
      <c r="AM233" s="2" t="inlineStr">
        <is>
          <t>Not Sent</t>
        </is>
      </c>
      <c r="AN233" s="2" t="n"/>
      <c r="AO233" s="2" t="inlineStr">
        <is>
          <t>Batch 3 | No email; legal entity name unknown. | No publicly verified business email found.</t>
        </is>
      </c>
    </row>
    <row r="234">
      <c r="A234" s="2" t="inlineStr"/>
      <c r="B234" s="2" t="inlineStr">
        <is>
          <t>FES Ltd</t>
        </is>
      </c>
      <c r="C234" s="2" t="inlineStr"/>
      <c r="D234" s="2" t="inlineStr"/>
      <c r="E234" s="2" t="inlineStr"/>
      <c r="F234" s="2" t="inlineStr">
        <is>
          <t>Ireland</t>
        </is>
      </c>
      <c r="G234" s="2" t="inlineStr"/>
      <c r="H234" s="2" t="inlineStr"/>
      <c r="I234" s="2" t="inlineStr">
        <is>
          <t>https://fesltd.ie/</t>
        </is>
      </c>
      <c r="J234" s="2" t="inlineStr">
        <is>
          <t>Agricultural &amp; commercial solar installer</t>
        </is>
      </c>
      <c r="K234" s="2" t="inlineStr">
        <is>
          <t>Agricultural solar PV, TAMS 3 installs</t>
        </is>
      </c>
      <c r="L234" s="2" t="inlineStr">
        <is>
          <t>Agricultural &amp; Commercial</t>
        </is>
      </c>
      <c r="M234" s="2" t="inlineStr">
        <is>
          <t>Unknown</t>
        </is>
      </c>
      <c r="N234" s="2" t="inlineStr">
        <is>
          <t>Kilkenny, Carlow, Kildare, Laois, Offaly, Tipperary, Waterford, Wexford</t>
        </is>
      </c>
      <c r="O234" s="2" t="inlineStr">
        <is>
          <t>Unknown</t>
        </is>
      </c>
      <c r="P234" s="2" t="inlineStr">
        <is>
          <t>Unknown</t>
        </is>
      </c>
      <c r="Q234" s="2" t="inlineStr">
        <is>
          <t>Unknown</t>
        </is>
      </c>
      <c r="R234" s="2" t="inlineStr">
        <is>
          <t>Unknown</t>
        </is>
      </c>
      <c r="S234" s="2" t="inlineStr">
        <is>
          <t>Unknown</t>
        </is>
      </c>
      <c r="T234" s="2" t="inlineStr">
        <is>
          <t>Unknown</t>
        </is>
      </c>
      <c r="U234" s="2" t="inlineStr">
        <is>
          <t>Phone</t>
        </is>
      </c>
      <c r="V234" s="2" t="inlineStr"/>
      <c r="W234" s="2" t="inlineStr">
        <is>
          <t>None found</t>
        </is>
      </c>
      <c r="X234" s="2" t="inlineStr">
        <is>
          <t>None found</t>
        </is>
      </c>
      <c r="Y234" s="2" t="inlineStr">
        <is>
          <t>TAMS 3 approved installation process</t>
        </is>
      </c>
      <c r="Z234" s="2" t="inlineStr">
        <is>
          <t>Phone enquiries from farmers with grant paperwork</t>
        </is>
      </c>
      <c r="AA234" s="2" t="inlineStr">
        <is>
          <t>Document processing</t>
        </is>
      </c>
      <c r="AB234" s="2" t="inlineStr">
        <is>
          <t>Medium</t>
        </is>
      </c>
      <c r="AC234" s="2" t="inlineStr">
        <is>
          <t>Your site offers TAMS 3-approved solar installations on farms.</t>
        </is>
      </c>
      <c r="AD234" s="2" t="inlineStr">
        <is>
          <t>Supports the document processing idea: Phone enquiries from farmers with grant paperwork</t>
        </is>
      </c>
      <c r="AE234" s="2" t="inlineStr">
        <is>
          <t>I noticed your site offers TAMS 3-approved solar installations on farms.</t>
        </is>
      </c>
      <c r="AF234" s="2" t="inlineStr">
        <is>
          <t>Solar paperwork at FES Ltd</t>
        </is>
      </c>
      <c r="AG234" s="2" t="inlineStr">
        <is>
          <t>Hi FES Ltd team,
I noticed your site offers TAMS 3-approved solar installations on farms.
I work with businesses on AI and workflow automation. For a solar company like FES Ltd, documents like utility bills, finance applications and site survey forms could be read automatically and the key details sent into your system.
It removes a lot of manual checking and retyping.
Would it be useful if I showed you how this could work with your current setup?
Best,
[Sender Name]
AI Automation Specialist</t>
        </is>
      </c>
      <c r="AH234" s="2" t="inlineStr">
        <is>
          <t>https://fesltd.ie/agricultural-solar-pv/</t>
        </is>
      </c>
      <c r="AI234" s="2" t="inlineStr">
        <is>
          <t>fesltd.ie/agricultural-solar-pv; service counties per summary.</t>
        </is>
      </c>
      <c r="AJ234" s="2" t="inlineStr">
        <is>
          <t>Company website (service page)</t>
        </is>
      </c>
      <c r="AK234" s="2" t="inlineStr">
        <is>
          <t>Medium</t>
        </is>
      </c>
      <c r="AL234" s="2" t="inlineStr">
        <is>
          <t>Reject</t>
        </is>
      </c>
      <c r="AM234" s="2" t="inlineStr">
        <is>
          <t>Not Sent</t>
        </is>
      </c>
      <c r="AN234" s="2" t="n"/>
      <c r="AO234" s="2" t="inlineStr">
        <is>
          <t>Batch 3 | No email found; HQ county not confirmed. | No publicly verified business email found.</t>
        </is>
      </c>
    </row>
    <row r="235">
      <c r="A235" s="2" t="inlineStr"/>
      <c r="B235" s="2" t="inlineStr">
        <is>
          <t>ProSolar</t>
        </is>
      </c>
      <c r="C235" s="2" t="inlineStr"/>
      <c r="D235" s="2" t="inlineStr"/>
      <c r="E235" s="2" t="inlineStr"/>
      <c r="F235" s="2" t="inlineStr">
        <is>
          <t>Ireland</t>
        </is>
      </c>
      <c r="G235" s="2" t="inlineStr"/>
      <c r="H235" s="2" t="inlineStr"/>
      <c r="I235" s="2" t="inlineStr">
        <is>
          <t>https://prosolar.ie/</t>
        </is>
      </c>
      <c r="J235" s="2" t="inlineStr">
        <is>
          <t>Residential, commercial &amp; agricultural solar installer</t>
        </is>
      </c>
      <c r="K235" s="2" t="inlineStr">
        <is>
          <t>Solar PV, farm solar grants</t>
        </is>
      </c>
      <c r="L235" s="2" t="inlineStr">
        <is>
          <t>Agricultural &amp; Residential</t>
        </is>
      </c>
      <c r="M235" s="2" t="inlineStr">
        <is>
          <t>200+ farm systems (per search summary)</t>
        </is>
      </c>
      <c r="N235" s="2" t="inlineStr">
        <is>
          <t>Ireland</t>
        </is>
      </c>
      <c r="O235" s="2" t="inlineStr">
        <is>
          <t>Unknown</t>
        </is>
      </c>
      <c r="P235" s="2" t="inlineStr">
        <is>
          <t>Unknown</t>
        </is>
      </c>
      <c r="Q235" s="2" t="inlineStr">
        <is>
          <t>Unknown</t>
        </is>
      </c>
      <c r="R235" s="2" t="inlineStr">
        <is>
          <t>Unknown</t>
        </is>
      </c>
      <c r="S235" s="2" t="inlineStr">
        <is>
          <t>Unknown</t>
        </is>
      </c>
      <c r="T235" s="2" t="inlineStr">
        <is>
          <t>Unknown</t>
        </is>
      </c>
      <c r="U235" s="2" t="inlineStr">
        <is>
          <t>Unknown</t>
        </is>
      </c>
      <c r="V235" s="2" t="inlineStr"/>
      <c r="W235" s="2" t="inlineStr">
        <is>
          <t>None found</t>
        </is>
      </c>
      <c r="X235" s="2" t="inlineStr">
        <is>
          <t>200+ farm systems installed across Ireland</t>
        </is>
      </c>
      <c r="Y235" s="2" t="inlineStr">
        <is>
          <t>None found</t>
        </is>
      </c>
      <c r="Z235" s="2" t="inlineStr">
        <is>
          <t>Farm grant enquiries</t>
        </is>
      </c>
      <c r="AA235" s="2" t="inlineStr">
        <is>
          <t>Lead scoring</t>
        </is>
      </c>
      <c r="AB235" s="2" t="inlineStr">
        <is>
          <t>Medium</t>
        </is>
      </c>
      <c r="AC235" s="2" t="inlineStr">
        <is>
          <t>You highlight 200+ farm solar systems installed across Ireland.</t>
        </is>
      </c>
      <c r="AD235" s="2" t="inlineStr">
        <is>
          <t>Supports the lead scoring idea: Farm grant enquiries</t>
        </is>
      </c>
      <c r="AE235" s="2" t="inlineStr">
        <is>
          <t>I came across ProSolar and noticed you highlight 200+ farm solar systems installed across Ireland.</t>
        </is>
      </c>
      <c r="AF235" s="2" t="inlineStr">
        <is>
          <t>Prioritising solar leads at ProSolar</t>
        </is>
      </c>
      <c r="AG235" s="2" t="inlineStr">
        <is>
          <t>Hi ProSolar team,
I came across ProSolar and noticed you highlight 200+ farm solar systems installed across Ireland.
I work with businesses on AI and workflow automation. For a solar company like ProSolar, each enquiry could be scored on things like property type, bill size, location and timeline, so the sales team calls the strongest leads first.
Sales time goes to the leads most likely to go ahead.
Would it be useful if I showed you how this could work with your current setup?
Best,
[Sender Name]
AI Automation Specialist</t>
        </is>
      </c>
      <c r="AH235" s="2" t="inlineStr">
        <is>
          <t>https://prosolar.ie/agricultural/</t>
        </is>
      </c>
      <c r="AI235" s="2" t="inlineStr">
        <is>
          <t>prosolar.ie/agricultural page 'Agricultural Solar PV | Farm Solar Grants'.</t>
        </is>
      </c>
      <c r="AJ235" s="2" t="inlineStr">
        <is>
          <t>Company website (service page)</t>
        </is>
      </c>
      <c r="AK235" s="2" t="inlineStr">
        <is>
          <t>Medium</t>
        </is>
      </c>
      <c r="AL235" s="2" t="inlineStr">
        <is>
          <t>Reject</t>
        </is>
      </c>
      <c r="AM235" s="2" t="inlineStr">
        <is>
          <t>Not Sent</t>
        </is>
      </c>
      <c r="AN235" s="2" t="n"/>
      <c r="AO235" s="2" t="inlineStr">
        <is>
          <t>Batch 3 | No email found. | No publicly verified business email found.</t>
        </is>
      </c>
    </row>
    <row r="236">
      <c r="A236" s="2" t="inlineStr"/>
      <c r="B236" s="2" t="inlineStr">
        <is>
          <t>Everpower</t>
        </is>
      </c>
      <c r="C236" s="2" t="inlineStr"/>
      <c r="D236" s="2" t="inlineStr"/>
      <c r="E236" s="2" t="inlineStr"/>
      <c r="F236" s="2" t="inlineStr">
        <is>
          <t>Ireland</t>
        </is>
      </c>
      <c r="G236" s="2" t="inlineStr"/>
      <c r="H236" s="2" t="inlineStr"/>
      <c r="I236" s="2" t="inlineStr">
        <is>
          <t>https://everpower.ie/</t>
        </is>
      </c>
      <c r="J236" s="2" t="inlineStr">
        <is>
          <t>Solar installer</t>
        </is>
      </c>
      <c r="K236" s="2" t="inlineStr">
        <is>
          <t>Agricultural solar, TAMS grant</t>
        </is>
      </c>
      <c r="L236" s="2" t="inlineStr">
        <is>
          <t>Agricultural</t>
        </is>
      </c>
      <c r="M236" s="2" t="inlineStr">
        <is>
          <t>Unknown</t>
        </is>
      </c>
      <c r="N236" s="2" t="inlineStr">
        <is>
          <t>Ireland</t>
        </is>
      </c>
      <c r="O236" s="2" t="inlineStr">
        <is>
          <t>Unknown</t>
        </is>
      </c>
      <c r="P236" s="2" t="inlineStr">
        <is>
          <t>Unknown</t>
        </is>
      </c>
      <c r="Q236" s="2" t="inlineStr">
        <is>
          <t>Unknown</t>
        </is>
      </c>
      <c r="R236" s="2" t="inlineStr">
        <is>
          <t>Unknown</t>
        </is>
      </c>
      <c r="S236" s="2" t="inlineStr">
        <is>
          <t>Unknown</t>
        </is>
      </c>
      <c r="T236" s="2" t="inlineStr">
        <is>
          <t>Unknown</t>
        </is>
      </c>
      <c r="U236" s="2" t="inlineStr">
        <is>
          <t>Unknown</t>
        </is>
      </c>
      <c r="V236" s="2" t="inlineStr"/>
      <c r="W236" s="2" t="inlineStr">
        <is>
          <t>None found</t>
        </is>
      </c>
      <c r="X236" s="2" t="inlineStr">
        <is>
          <t>None found</t>
        </is>
      </c>
      <c r="Y236" s="2" t="inlineStr">
        <is>
          <t>None found</t>
        </is>
      </c>
      <c r="Z236" s="2" t="inlineStr">
        <is>
          <t>Website enquiries for TAMS solar</t>
        </is>
      </c>
      <c r="AA236" s="2" t="inlineStr">
        <is>
          <t>Quote request automation</t>
        </is>
      </c>
      <c r="AB236" s="2" t="inlineStr">
        <is>
          <t>Low</t>
        </is>
      </c>
      <c r="AC236" s="2" t="inlineStr">
        <is>
          <t>Your agriculture solar page focuses on the TAMS grant.</t>
        </is>
      </c>
      <c r="AD236" s="2" t="inlineStr">
        <is>
          <t>Supports the quote request automation idea: Website enquiries for TAMS solar</t>
        </is>
      </c>
      <c r="AE236" s="2" t="inlineStr">
        <is>
          <t>I noticed your agriculture solar page focuses on the TAMS grant.</t>
        </is>
      </c>
      <c r="AF236" s="2" t="inlineStr">
        <is>
          <t>A solar quote workflow idea</t>
        </is>
      </c>
      <c r="AG236" s="2" t="inlineStr">
        <is>
          <t>Hi Everpower team,
I noticed your agriculture solar page focuses on the TAMS grant.
I work with businesses on AI and workflow automation. For a solar company like Everpower,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36" s="2" t="inlineStr">
        <is>
          <t>https://everpower.ie/agriculture-solar/</t>
        </is>
      </c>
      <c r="AI236" s="2" t="inlineStr">
        <is>
          <t>everpower.ie/agriculture-solar titled 'Agriculture Solar | TAMS Grant'.</t>
        </is>
      </c>
      <c r="AJ236" s="2" t="inlineStr">
        <is>
          <t>Company website (service page)</t>
        </is>
      </c>
      <c r="AK236" s="2" t="inlineStr">
        <is>
          <t>Low</t>
        </is>
      </c>
      <c r="AL236" s="2" t="inlineStr">
        <is>
          <t>Reject</t>
        </is>
      </c>
      <c r="AM236" s="2" t="inlineStr">
        <is>
          <t>Not Sent</t>
        </is>
      </c>
      <c r="AN236" s="2" t="n"/>
      <c r="AO236" s="2" t="inlineStr">
        <is>
          <t>Batch 3 | No email; HQ unknown. | No publicly verified business email found.</t>
        </is>
      </c>
    </row>
    <row r="237">
      <c r="A237" s="2" t="inlineStr"/>
      <c r="B237" s="2" t="inlineStr">
        <is>
          <t>Sunvolt Solar</t>
        </is>
      </c>
      <c r="C237" s="2" t="inlineStr"/>
      <c r="D237" s="2" t="inlineStr"/>
      <c r="E237" s="2" t="inlineStr"/>
      <c r="F237" s="2" t="inlineStr">
        <is>
          <t>Ireland</t>
        </is>
      </c>
      <c r="G237" s="2" t="inlineStr"/>
      <c r="H237" s="2" t="inlineStr"/>
      <c r="I237" s="2" t="inlineStr">
        <is>
          <t>https://sunvolt.ie/</t>
        </is>
      </c>
      <c r="J237" s="2" t="inlineStr">
        <is>
          <t>Solar installer</t>
        </is>
      </c>
      <c r="K237" s="2" t="inlineStr">
        <is>
          <t>Solar PV, farm/agri-solar</t>
        </is>
      </c>
      <c r="L237" s="2" t="inlineStr">
        <is>
          <t>Agricultural &amp; Residential</t>
        </is>
      </c>
      <c r="M237" s="2" t="inlineStr">
        <is>
          <t>Unknown</t>
        </is>
      </c>
      <c r="N237" s="2" t="inlineStr">
        <is>
          <t>Ireland</t>
        </is>
      </c>
      <c r="O237" s="2" t="inlineStr">
        <is>
          <t>Unknown</t>
        </is>
      </c>
      <c r="P237" s="2" t="inlineStr">
        <is>
          <t>Unknown</t>
        </is>
      </c>
      <c r="Q237" s="2" t="inlineStr">
        <is>
          <t>Unknown</t>
        </is>
      </c>
      <c r="R237" s="2" t="inlineStr">
        <is>
          <t>Unknown</t>
        </is>
      </c>
      <c r="S237" s="2" t="inlineStr">
        <is>
          <t>Unknown</t>
        </is>
      </c>
      <c r="T237" s="2" t="inlineStr">
        <is>
          <t>Unknown</t>
        </is>
      </c>
      <c r="U237" s="2" t="inlineStr">
        <is>
          <t>Unknown</t>
        </is>
      </c>
      <c r="V237" s="2" t="inlineStr">
        <is>
          <t>Blog content</t>
        </is>
      </c>
      <c r="W237" s="2" t="inlineStr">
        <is>
          <t>None found</t>
        </is>
      </c>
      <c r="X237" s="2" t="inlineStr">
        <is>
          <t>None found</t>
        </is>
      </c>
      <c r="Y237" s="2" t="inlineStr">
        <is>
          <t>None found</t>
        </is>
      </c>
      <c r="Z237" s="2" t="inlineStr">
        <is>
          <t>Content-driven website enquiries</t>
        </is>
      </c>
      <c r="AA237" s="2" t="inlineStr">
        <is>
          <t>Email follow up</t>
        </is>
      </c>
      <c r="AB237" s="2" t="inlineStr">
        <is>
          <t>Low</t>
        </is>
      </c>
      <c r="AC237" s="2" t="inlineStr">
        <is>
          <t>You publish content on farm solar and agri-solar in Ireland.</t>
        </is>
      </c>
      <c r="AD237" s="2" t="inlineStr">
        <is>
          <t>Supports the email follow up idea: Content-driven website enquiries</t>
        </is>
      </c>
      <c r="AE237" s="2" t="inlineStr">
        <is>
          <t>I was looking at your website and saw that you publish content on farm solar and agri-solar in Ireland.</t>
        </is>
      </c>
      <c r="AF237" s="2" t="inlineStr">
        <is>
          <t>Solar lead follow up idea</t>
        </is>
      </c>
      <c r="AG237" s="2" t="inlineStr">
        <is>
          <t>Hi Sunvolt Solar team,
I was looking at your website and saw that you publish content on farm solar and agri-solar in Ireland.
I work with businesses on AI and workflow automation. For a solar company like Sunvolt Solar, a short email sequence could follow up on each enquiry, share relevant info on panels, batteries or financing, and hand warm replies to your team.
It keeps leads engaged without extra manual emails.
Would it be useful if I showed you how this could work with your current setup?
Best,
[Sender Name]
AI Automation Specialist</t>
        </is>
      </c>
      <c r="AH237" s="2" t="inlineStr">
        <is>
          <t>https://sunvolt.ie/farm-solar-installations-and-agri-solar-in-ireland/</t>
        </is>
      </c>
      <c r="AI237" s="2" t="inlineStr">
        <is>
          <t>sunvolt.ie article on farm solar installations.</t>
        </is>
      </c>
      <c r="AJ237" s="2" t="inlineStr">
        <is>
          <t>Company website (blog)</t>
        </is>
      </c>
      <c r="AK237" s="2" t="inlineStr">
        <is>
          <t>Low</t>
        </is>
      </c>
      <c r="AL237" s="2" t="inlineStr">
        <is>
          <t>Reject</t>
        </is>
      </c>
      <c r="AM237" s="2" t="inlineStr">
        <is>
          <t>Not Sent</t>
        </is>
      </c>
      <c r="AN237" s="2" t="n"/>
      <c r="AO237" s="2" t="inlineStr">
        <is>
          <t>Batch 3 | No email; HQ unknown. | No publicly verified business email found.</t>
        </is>
      </c>
    </row>
    <row r="238">
      <c r="A238" s="2" t="inlineStr"/>
      <c r="B238" s="2" t="inlineStr">
        <is>
          <t>Ashgrove</t>
        </is>
      </c>
      <c r="C238" s="2" t="inlineStr"/>
      <c r="D238" s="2" t="inlineStr"/>
      <c r="E238" s="2" t="inlineStr"/>
      <c r="F238" s="2" t="inlineStr">
        <is>
          <t>Ireland</t>
        </is>
      </c>
      <c r="G238" s="2" t="inlineStr"/>
      <c r="H238" s="2" t="inlineStr"/>
      <c r="I238" s="2" t="inlineStr">
        <is>
          <t>https://ashgrove.ie/</t>
        </is>
      </c>
      <c r="J238" s="2" t="inlineStr">
        <is>
          <t>Commercial &amp; agricultural solar installer</t>
        </is>
      </c>
      <c r="K238" s="2" t="inlineStr">
        <is>
          <t>Commercial and agricultural solar PV</t>
        </is>
      </c>
      <c r="L238" s="2" t="inlineStr">
        <is>
          <t>Commercial &amp; Agricultural</t>
        </is>
      </c>
      <c r="M238" s="2" t="inlineStr">
        <is>
          <t>Unknown</t>
        </is>
      </c>
      <c r="N238" s="2" t="inlineStr">
        <is>
          <t>Ireland</t>
        </is>
      </c>
      <c r="O238" s="2" t="inlineStr">
        <is>
          <t>Unknown</t>
        </is>
      </c>
      <c r="P238" s="2" t="inlineStr">
        <is>
          <t>Unknown</t>
        </is>
      </c>
      <c r="Q238" s="2" t="inlineStr">
        <is>
          <t>Unknown</t>
        </is>
      </c>
      <c r="R238" s="2" t="inlineStr">
        <is>
          <t>Unknown</t>
        </is>
      </c>
      <c r="S238" s="2" t="inlineStr">
        <is>
          <t>Unknown</t>
        </is>
      </c>
      <c r="T238" s="2" t="inlineStr">
        <is>
          <t>Unknown</t>
        </is>
      </c>
      <c r="U238" s="2" t="inlineStr">
        <is>
          <t>Unknown</t>
        </is>
      </c>
      <c r="V238" s="2" t="inlineStr"/>
      <c r="W238" s="2" t="inlineStr">
        <is>
          <t>None found</t>
        </is>
      </c>
      <c r="X238" s="2" t="inlineStr">
        <is>
          <t>None found</t>
        </is>
      </c>
      <c r="Y238" s="2" t="inlineStr">
        <is>
          <t>None found</t>
        </is>
      </c>
      <c r="Z238" s="2" t="inlineStr">
        <is>
          <t>Commercial enquiries</t>
        </is>
      </c>
      <c r="AA238" s="2" t="inlineStr">
        <is>
          <t>Lead qualification chatbot</t>
        </is>
      </c>
      <c r="AB238" s="2" t="inlineStr">
        <is>
          <t>Low</t>
        </is>
      </c>
      <c r="AC238" s="2" t="inlineStr">
        <is>
          <t>Your site has a dedicated agriculture and commercial solar PV section.</t>
        </is>
      </c>
      <c r="AD238" s="2" t="inlineStr">
        <is>
          <t>Supports the lead qualification chatbot idea: Commercial enquiries</t>
        </is>
      </c>
      <c r="AE238" s="2" t="inlineStr">
        <is>
          <t>I came across Ashgrove and noticed your site has a dedicated agriculture and commercial solar PV section.</t>
        </is>
      </c>
      <c r="AF238" s="2" t="inlineStr">
        <is>
          <t>Qualifying solar enquiries at Ashgrove</t>
        </is>
      </c>
      <c r="AG238" s="2" t="inlineStr">
        <is>
          <t>Hi Ashgrove team,
I came across Ashgrove and noticed your site has a dedicated agriculture and commercial solar PV section.
I work with businesses on AI and workflow automation. For a solar company like Ashgrove, a simple AI assistant could answer first questions on the site, check things like roof type, bill size and location, and pass only qualified enquiries to your team with the details already filled in.
Your team would spend less time on enquiries that were never a fit.
Would it be useful if I showed you how this could work with your current setup?
Best,
[Sender Name]
AI Automation Specialist</t>
        </is>
      </c>
      <c r="AH238" s="2" t="inlineStr">
        <is>
          <t>https://ashgrove.ie/agriculture-commercial/</t>
        </is>
      </c>
      <c r="AI238" s="2" t="inlineStr">
        <is>
          <t>ashgrove.ie/agriculture-commercial 'Commercial and Agricultural Solar PV in Ireland'.</t>
        </is>
      </c>
      <c r="AJ238" s="2" t="inlineStr">
        <is>
          <t>Company website (service page)</t>
        </is>
      </c>
      <c r="AK238" s="2" t="inlineStr">
        <is>
          <t>Low</t>
        </is>
      </c>
      <c r="AL238" s="2" t="inlineStr">
        <is>
          <t>Reject</t>
        </is>
      </c>
      <c r="AM238" s="2" t="inlineStr">
        <is>
          <t>Not Sent</t>
        </is>
      </c>
      <c r="AN238" s="2" t="n"/>
      <c r="AO238" s="2" t="inlineStr">
        <is>
          <t>Batch 3 | No email; full company name/HQ not verified. | No publicly verified business email found.</t>
        </is>
      </c>
    </row>
    <row r="239">
      <c r="A239" s="2" t="inlineStr"/>
      <c r="B239" s="2" t="inlineStr">
        <is>
          <t>Ideal Solar &amp; Electrical</t>
        </is>
      </c>
      <c r="C239" s="2" t="inlineStr"/>
      <c r="D239" s="2" t="inlineStr"/>
      <c r="E239" s="2" t="inlineStr"/>
      <c r="F239" s="2" t="inlineStr">
        <is>
          <t>Ireland</t>
        </is>
      </c>
      <c r="G239" s="2" t="inlineStr">
        <is>
          <t>Dublin</t>
        </is>
      </c>
      <c r="H239" s="2" t="inlineStr">
        <is>
          <t>Dublin</t>
        </is>
      </c>
      <c r="I239" s="2" t="inlineStr">
        <is>
          <t>https://idealsolarandelectrical.ie/</t>
        </is>
      </c>
      <c r="J239" s="2" t="inlineStr">
        <is>
          <t>Residential solar installer</t>
        </is>
      </c>
      <c r="K239" s="2" t="inlineStr">
        <is>
          <t>Solar PV, electrical, SEAI grants</t>
        </is>
      </c>
      <c r="L239" s="2" t="inlineStr">
        <is>
          <t>Residential</t>
        </is>
      </c>
      <c r="M239" s="2" t="inlineStr">
        <is>
          <t>Unknown</t>
        </is>
      </c>
      <c r="N239" s="2" t="inlineStr">
        <is>
          <t>Dublin</t>
        </is>
      </c>
      <c r="O239" s="2" t="inlineStr">
        <is>
          <t>Unknown</t>
        </is>
      </c>
      <c r="P239" s="2" t="inlineStr">
        <is>
          <t>Unknown</t>
        </is>
      </c>
      <c r="Q239" s="2" t="inlineStr">
        <is>
          <t>Unknown</t>
        </is>
      </c>
      <c r="R239" s="2" t="inlineStr">
        <is>
          <t>Unknown</t>
        </is>
      </c>
      <c r="S239" s="2" t="inlineStr">
        <is>
          <t>Unknown</t>
        </is>
      </c>
      <c r="T239" s="2" t="inlineStr">
        <is>
          <t>Unknown</t>
        </is>
      </c>
      <c r="U239" s="2" t="inlineStr">
        <is>
          <t>Unknown</t>
        </is>
      </c>
      <c r="V239" s="2" t="inlineStr"/>
      <c r="W239" s="2" t="inlineStr">
        <is>
          <t>None found</t>
        </is>
      </c>
      <c r="X239" s="2" t="inlineStr">
        <is>
          <t>None found</t>
        </is>
      </c>
      <c r="Y239" s="2" t="inlineStr">
        <is>
          <t>None found</t>
        </is>
      </c>
      <c r="Z239" s="2" t="inlineStr">
        <is>
          <t>Website enquiries</t>
        </is>
      </c>
      <c r="AA239" s="2" t="inlineStr">
        <is>
          <t>Quote request automation</t>
        </is>
      </c>
      <c r="AB239" s="2" t="inlineStr">
        <is>
          <t>Low</t>
        </is>
      </c>
      <c r="AC239" s="2" t="inlineStr">
        <is>
          <t>Your homepage targets Dublin homeowners with SEAI grants and installation.</t>
        </is>
      </c>
      <c r="AD239" s="2" t="inlineStr">
        <is>
          <t>Supports the quote request automation idea: Website enquiries</t>
        </is>
      </c>
      <c r="AE239" s="2" t="inlineStr">
        <is>
          <t>I noticed your homepage targets Dublin homeowners with SEAI grants and installation.</t>
        </is>
      </c>
      <c r="AF239" s="2" t="inlineStr">
        <is>
          <t>Quote requests at Ideal Solar &amp; Electrical</t>
        </is>
      </c>
      <c r="AG239" s="2" t="inlineStr">
        <is>
          <t>Hi Ideal Solar &amp; Electrical team,
I noticed your homepage targets Dublin homeowners with SEAI grants and installation.
I work with businesses on AI and workflow automation. For a solar company like Ideal Solar &amp;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39" s="2" t="inlineStr">
        <is>
          <t>https://idealsolarandelectrical.ie/</t>
        </is>
      </c>
      <c r="AI239" s="2" t="inlineStr">
        <is>
          <t>Title 'Solar Panels Dublin | SEAI Grants &amp; Installation | Ideal Solar &amp; Electrical'.</t>
        </is>
      </c>
      <c r="AJ239" s="2" t="inlineStr">
        <is>
          <t>Company website</t>
        </is>
      </c>
      <c r="AK239" s="2" t="inlineStr">
        <is>
          <t>Medium</t>
        </is>
      </c>
      <c r="AL239" s="2" t="inlineStr">
        <is>
          <t>Reject</t>
        </is>
      </c>
      <c r="AM239" s="2" t="inlineStr">
        <is>
          <t>Not Sent</t>
        </is>
      </c>
      <c r="AN239" s="2" t="n"/>
      <c r="AO239" s="2" t="inlineStr">
        <is>
          <t>Batch 3 | No email found. | No publicly verified business email found.</t>
        </is>
      </c>
    </row>
    <row r="240">
      <c r="A240" s="2" t="inlineStr"/>
      <c r="B240" s="2" t="inlineStr">
        <is>
          <t>South Dublin Solar</t>
        </is>
      </c>
      <c r="C240" s="2" t="inlineStr"/>
      <c r="D240" s="2" t="inlineStr"/>
      <c r="E240" s="2" t="inlineStr"/>
      <c r="F240" s="2" t="inlineStr">
        <is>
          <t>Ireland</t>
        </is>
      </c>
      <c r="G240" s="2" t="inlineStr">
        <is>
          <t>Dublin</t>
        </is>
      </c>
      <c r="H240" s="2" t="inlineStr">
        <is>
          <t>Dublin</t>
        </is>
      </c>
      <c r="I240" s="2" t="inlineStr">
        <is>
          <t>https://southdublinsolar.com/</t>
        </is>
      </c>
      <c r="J240" s="2" t="inlineStr">
        <is>
          <t>Residential solar installer</t>
        </is>
      </c>
      <c r="K240" s="2" t="inlineStr">
        <is>
          <t>Solar PV</t>
        </is>
      </c>
      <c r="L240" s="2" t="inlineStr">
        <is>
          <t>Residential</t>
        </is>
      </c>
      <c r="M240" s="2" t="inlineStr">
        <is>
          <t>Unknown</t>
        </is>
      </c>
      <c r="N240" s="2" t="inlineStr">
        <is>
          <t>South Dublin</t>
        </is>
      </c>
      <c r="O240" s="2" t="inlineStr">
        <is>
          <t>Unknown</t>
        </is>
      </c>
      <c r="P240" s="2" t="inlineStr">
        <is>
          <t>Unknown</t>
        </is>
      </c>
      <c r="Q240" s="2" t="inlineStr">
        <is>
          <t>Unknown</t>
        </is>
      </c>
      <c r="R240" s="2" t="inlineStr">
        <is>
          <t>Unknown</t>
        </is>
      </c>
      <c r="S240" s="2" t="inlineStr">
        <is>
          <t>Unknown</t>
        </is>
      </c>
      <c r="T240" s="2" t="inlineStr">
        <is>
          <t>Unknown</t>
        </is>
      </c>
      <c r="U240" s="2" t="inlineStr">
        <is>
          <t>Phone (mobile)</t>
        </is>
      </c>
      <c r="V240" s="2" t="inlineStr"/>
      <c r="W240" s="2" t="inlineStr">
        <is>
          <t>None found</t>
        </is>
      </c>
      <c r="X240" s="2" t="inlineStr">
        <is>
          <t>None found</t>
        </is>
      </c>
      <c r="Y240" s="2" t="inlineStr">
        <is>
          <t>None found</t>
        </is>
      </c>
      <c r="Z240" s="2" t="inlineStr">
        <is>
          <t>Mobile-phone based enquiries to one contact</t>
        </is>
      </c>
      <c r="AA240" s="2" t="inlineStr">
        <is>
          <t>Missed lead recovery</t>
        </is>
      </c>
      <c r="AB240" s="2" t="inlineStr">
        <is>
          <t>Low</t>
        </is>
      </c>
      <c r="AC240" s="2" t="inlineStr">
        <is>
          <t>Your site asks customers to call Ronan directly on a mobile number.</t>
        </is>
      </c>
      <c r="AD240" s="2" t="inlineStr">
        <is>
          <t>Supports the missed lead recovery idea: Mobile-phone based enquiries to one contact</t>
        </is>
      </c>
      <c r="AE240" s="2" t="inlineStr">
        <is>
          <t>I noticed your site asks customers to call Ronan directly on a mobile number.</t>
        </is>
      </c>
      <c r="AF240" s="2" t="inlineStr">
        <is>
          <t>Missed solar leads at South Dublin Solar</t>
        </is>
      </c>
      <c r="AG240" s="2" t="inlineStr">
        <is>
          <t>Hi South Dublin Solar team,
I noticed your site asks customers to call Ronan directly on a mobile number.
I work with businesses on AI and workflow automation. For a solar company like South Dublin Solar,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240" s="2" t="inlineStr">
        <is>
          <t>https://southdublinsolar.com/</t>
        </is>
      </c>
      <c r="AI240" s="2" t="inlineStr">
        <is>
          <t>Site describes SEAI registered, grant-eligible installer; contact Ronan by phone (summary).</t>
        </is>
      </c>
      <c r="AJ240" s="2" t="inlineStr">
        <is>
          <t>Company website</t>
        </is>
      </c>
      <c r="AK240" s="2" t="inlineStr">
        <is>
          <t>Medium</t>
        </is>
      </c>
      <c r="AL240" s="2" t="inlineStr">
        <is>
          <t>Reject</t>
        </is>
      </c>
      <c r="AM240" s="2" t="inlineStr">
        <is>
          <t>Not Sent</t>
        </is>
      </c>
      <c r="AN240" s="2" t="n"/>
      <c r="AO240" s="2" t="inlineStr">
        <is>
          <t>Batch 3 | No email found; Ronan's role not stated so not recorded. | No publicly verified business email found.</t>
        </is>
      </c>
    </row>
    <row r="241">
      <c r="A241" s="2" t="inlineStr"/>
      <c r="B241" s="2" t="inlineStr">
        <is>
          <t>Energlaze</t>
        </is>
      </c>
      <c r="C241" s="2" t="inlineStr"/>
      <c r="D241" s="2" t="inlineStr"/>
      <c r="E241" s="2" t="inlineStr"/>
      <c r="F241" s="2" t="inlineStr">
        <is>
          <t>Ireland</t>
        </is>
      </c>
      <c r="G241" s="2" t="inlineStr"/>
      <c r="H241" s="2" t="inlineStr"/>
      <c r="I241" s="2" t="inlineStr">
        <is>
          <t>https://www.energlaze.ie/</t>
        </is>
      </c>
      <c r="J241" s="2" t="inlineStr">
        <is>
          <t>Solar installer</t>
        </is>
      </c>
      <c r="K241" s="2" t="inlineStr">
        <is>
          <t>Solar PV</t>
        </is>
      </c>
      <c r="L241" s="2" t="inlineStr">
        <is>
          <t>Residential</t>
        </is>
      </c>
      <c r="M241" s="2" t="inlineStr">
        <is>
          <t>Unknown</t>
        </is>
      </c>
      <c r="N241" s="2" t="inlineStr">
        <is>
          <t>Includes Dublin</t>
        </is>
      </c>
      <c r="O241" s="2" t="inlineStr">
        <is>
          <t>Unknown</t>
        </is>
      </c>
      <c r="P241" s="2" t="inlineStr">
        <is>
          <t>Unknown</t>
        </is>
      </c>
      <c r="Q241" s="2" t="inlineStr">
        <is>
          <t>Unknown</t>
        </is>
      </c>
      <c r="R241" s="2" t="inlineStr">
        <is>
          <t>Unknown</t>
        </is>
      </c>
      <c r="S241" s="2" t="inlineStr">
        <is>
          <t>Unknown</t>
        </is>
      </c>
      <c r="T241" s="2" t="inlineStr">
        <is>
          <t>Unknown</t>
        </is>
      </c>
      <c r="U241" s="2" t="inlineStr">
        <is>
          <t>Unknown</t>
        </is>
      </c>
      <c r="V241" s="2" t="inlineStr"/>
      <c r="W241" s="2" t="inlineStr">
        <is>
          <t>None found</t>
        </is>
      </c>
      <c r="X241" s="2" t="inlineStr">
        <is>
          <t>None found</t>
        </is>
      </c>
      <c r="Y241" s="2" t="inlineStr">
        <is>
          <t>None found</t>
        </is>
      </c>
      <c r="Z241" s="2" t="inlineStr">
        <is>
          <t>Location-page enquiries</t>
        </is>
      </c>
      <c r="AA241" s="2" t="inlineStr">
        <is>
          <t>Quote request automation</t>
        </is>
      </c>
      <c r="AB241" s="2" t="inlineStr">
        <is>
          <t>Low</t>
        </is>
      </c>
      <c r="AC241" s="2" t="inlineStr">
        <is>
          <t>Your Dublin solar page states you are an SEAI registered installer.</t>
        </is>
      </c>
      <c r="AD241" s="2" t="inlineStr">
        <is>
          <t>Supports the quote request automation idea: Location-page enquiries</t>
        </is>
      </c>
      <c r="AE241" s="2" t="inlineStr">
        <is>
          <t>I came across Energlaze and noticed your Dublin solar page states you are an SEAI registered installer.</t>
        </is>
      </c>
      <c r="AF241" s="2" t="inlineStr">
        <is>
          <t>Quote requests at Energlaze</t>
        </is>
      </c>
      <c r="AG241" s="2" t="inlineStr">
        <is>
          <t>Hi Energlaze team,
I came across Energlaze and noticed your Dublin solar page states you are an SEAI registered installer.
I work with businesses on AI and workflow automation. For a solar company like Energlaze,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41" s="2" t="inlineStr">
        <is>
          <t>https://www.energlaze.ie/solar-panels/dublin/</t>
        </is>
      </c>
      <c r="AI241" s="2" t="inlineStr">
        <is>
          <t>Title 'Solar Panels Dublin - SEAI Registered Installer - Energlaze'.</t>
        </is>
      </c>
      <c r="AJ241" s="2" t="inlineStr">
        <is>
          <t>Company website (location page)</t>
        </is>
      </c>
      <c r="AK241" s="2" t="inlineStr">
        <is>
          <t>Low</t>
        </is>
      </c>
      <c r="AL241" s="2" t="inlineStr">
        <is>
          <t>Reject</t>
        </is>
      </c>
      <c r="AM241" s="2" t="inlineStr">
        <is>
          <t>Not Sent</t>
        </is>
      </c>
      <c r="AN241" s="2" t="n"/>
      <c r="AO241" s="2" t="inlineStr">
        <is>
          <t>Batch 3 | No email; HQ unknown. | No publicly verified business email found.</t>
        </is>
      </c>
    </row>
    <row r="242">
      <c r="A242" s="2" t="inlineStr"/>
      <c r="B242" s="2" t="inlineStr">
        <is>
          <t>Alternative Energy</t>
        </is>
      </c>
      <c r="C242" s="2" t="inlineStr"/>
      <c r="D242" s="2" t="inlineStr"/>
      <c r="E242" s="2" t="inlineStr"/>
      <c r="F242" s="2" t="inlineStr">
        <is>
          <t>Ireland</t>
        </is>
      </c>
      <c r="G242" s="2" t="inlineStr"/>
      <c r="H242" s="2" t="inlineStr"/>
      <c r="I242" s="2" t="inlineStr">
        <is>
          <t>https://alternativeenergy.ie/</t>
        </is>
      </c>
      <c r="J242" s="2" t="inlineStr">
        <is>
          <t>Residential &amp; agricultural solar installer</t>
        </is>
      </c>
      <c r="K242" s="2" t="inlineStr">
        <is>
          <t>Solar PV, agricultural energy consultancy</t>
        </is>
      </c>
      <c r="L242" s="2" t="inlineStr">
        <is>
          <t>Residential &amp; Agricultural</t>
        </is>
      </c>
      <c r="M242" s="2" t="inlineStr">
        <is>
          <t>Unknown</t>
        </is>
      </c>
      <c r="N242" s="2" t="inlineStr">
        <is>
          <t>Includes Cork</t>
        </is>
      </c>
      <c r="O242" s="2" t="inlineStr">
        <is>
          <t>Unknown</t>
        </is>
      </c>
      <c r="P242" s="2" t="inlineStr">
        <is>
          <t>Yes</t>
        </is>
      </c>
      <c r="Q242" s="2" t="inlineStr">
        <is>
          <t>Yes</t>
        </is>
      </c>
      <c r="R242" s="2" t="inlineStr">
        <is>
          <t>Unknown</t>
        </is>
      </c>
      <c r="S242" s="2" t="inlineStr">
        <is>
          <t>Unknown</t>
        </is>
      </c>
      <c r="T242" s="2" t="inlineStr">
        <is>
          <t>Unknown</t>
        </is>
      </c>
      <c r="U242" s="2" t="inlineStr">
        <is>
          <t>Unknown</t>
        </is>
      </c>
      <c r="V242" s="2" t="inlineStr"/>
      <c r="W242" s="2" t="inlineStr">
        <is>
          <t>None found</t>
        </is>
      </c>
      <c r="X242" s="2" t="inlineStr">
        <is>
          <t>None found</t>
        </is>
      </c>
      <c r="Y242" s="2" t="inlineStr">
        <is>
          <t>None found</t>
        </is>
      </c>
      <c r="Z242" s="2" t="inlineStr">
        <is>
          <t>Free quote requests routed to agricultural energy consultant</t>
        </is>
      </c>
      <c r="AA242" s="2" t="inlineStr">
        <is>
          <t>Appointment booking automation</t>
        </is>
      </c>
      <c r="AB242" s="2" t="inlineStr">
        <is>
          <t>Medium</t>
        </is>
      </c>
      <c r="AC242" s="2" t="inlineStr">
        <is>
          <t>Your Cork page offers a free quote with your agricultural energy consultant.</t>
        </is>
      </c>
      <c r="AD242" s="2" t="inlineStr">
        <is>
          <t>Supports the appointment booking automation idea: Free quote requests routed to agricultural energy consultant</t>
        </is>
      </c>
      <c r="AE242" s="2" t="inlineStr">
        <is>
          <t>I noticed your Cork page offers a free quote with your agricultural energy consultant.</t>
        </is>
      </c>
      <c r="AF242" s="2" t="inlineStr">
        <is>
          <t>Consultation booking at Alternative Energy</t>
        </is>
      </c>
      <c r="AG242" s="2" t="inlineStr">
        <is>
          <t>Hi Alternative Energy team,
I noticed your Cork page offers a free quote with your agricultural energy consultant.
I work with businesses on AI and workflow automation. For a solar company like Alternative Energy, people who ask for a consultation could get a booking link straight away, with reminders by email or SMS and the booking added to the right calendar.
Fewer calls back and forth to agree a time, and fewer no-shows.
Would it be useful if I showed you how this could work with your current setup?
Best,
[Sender Name]
AI Automation Specialist</t>
        </is>
      </c>
      <c r="AH242" s="2" t="inlineStr">
        <is>
          <t>https://alternativeenergy.ie/solar-panels-cork/</t>
        </is>
      </c>
      <c r="AI242" s="2" t="inlineStr">
        <is>
          <t>Title 'Solar Panels Cork | Solar Panel Installers | Free Quote'; agricultural energy consultant per summary.</t>
        </is>
      </c>
      <c r="AJ242" s="2" t="inlineStr">
        <is>
          <t>Company website (quote page)</t>
        </is>
      </c>
      <c r="AK242" s="2" t="inlineStr">
        <is>
          <t>Medium</t>
        </is>
      </c>
      <c r="AL242" s="2" t="inlineStr">
        <is>
          <t>Reject</t>
        </is>
      </c>
      <c r="AM242" s="2" t="inlineStr">
        <is>
          <t>Not Sent</t>
        </is>
      </c>
      <c r="AN242" s="2" t="n"/>
      <c r="AO242" s="2" t="inlineStr">
        <is>
          <t>Batch 3 | No email found; HQ unknown. | No publicly verified business email found.</t>
        </is>
      </c>
    </row>
    <row r="243">
      <c r="A243" s="2" t="inlineStr"/>
      <c r="B243" s="2" t="inlineStr">
        <is>
          <t>Lightforce Solar</t>
        </is>
      </c>
      <c r="C243" s="2" t="inlineStr"/>
      <c r="D243" s="2" t="inlineStr"/>
      <c r="E243" s="2" t="inlineStr">
        <is>
          <t>info@lightforce.co.nz</t>
        </is>
      </c>
      <c r="F243" s="2" t="inlineStr">
        <is>
          <t>New Zealand</t>
        </is>
      </c>
      <c r="G243" s="2" t="inlineStr">
        <is>
          <t>Auckland</t>
        </is>
      </c>
      <c r="H243" s="2" t="inlineStr">
        <is>
          <t>Auckland</t>
        </is>
      </c>
      <c r="I243" s="2" t="inlineStr">
        <is>
          <t>https://lightforce.co.nz/</t>
        </is>
      </c>
      <c r="J243" s="2" t="inlineStr">
        <is>
          <t>Residential &amp; commercial solar installer</t>
        </is>
      </c>
      <c r="K243" s="2" t="inlineStr">
        <is>
          <t>Solar PV, battery storage</t>
        </is>
      </c>
      <c r="L243" s="2" t="inlineStr">
        <is>
          <t>Residential, Commercial &amp; Agricultural</t>
        </is>
      </c>
      <c r="M243" s="2" t="inlineStr">
        <is>
          <t>100+ staff (per search snippet); claims ~20% of NZ solar installs</t>
        </is>
      </c>
      <c r="N243" s="2" t="inlineStr">
        <is>
          <t>New Zealand-wide</t>
        </is>
      </c>
      <c r="O243" s="2" t="inlineStr">
        <is>
          <t>Multiple hubs incl. Auckland, Whangarei, Kerikeri, Hamilton, Cambridge, Te Awamutu, Tauranga, Taranaki, Christchurch</t>
        </is>
      </c>
      <c r="P243" s="2" t="inlineStr">
        <is>
          <t>Yes</t>
        </is>
      </c>
      <c r="Q243" s="2" t="inlineStr">
        <is>
          <t>Unknown</t>
        </is>
      </c>
      <c r="R243" s="2" t="inlineStr">
        <is>
          <t>Unknown</t>
        </is>
      </c>
      <c r="S243" s="2" t="inlineStr">
        <is>
          <t>Yes</t>
        </is>
      </c>
      <c r="T243" s="2" t="inlineStr">
        <is>
          <t>Unknown</t>
        </is>
      </c>
      <c r="U243" s="2" t="inlineStr">
        <is>
          <t>Phone + email</t>
        </is>
      </c>
      <c r="V243" s="2" t="inlineStr">
        <is>
          <t>Website quote page (/solar-quote/); regional hub pages; phone 0800; Facebook; LinkedIn; X</t>
        </is>
      </c>
      <c r="W243" s="2" t="inlineStr">
        <is>
          <t>Dedicated /solar-quote/ page; nationwide hub network</t>
        </is>
      </c>
      <c r="X243" s="2" t="inlineStr">
        <is>
          <t>Claims 20% of NZ solar installs; 100+ team; many regional hubs</t>
        </is>
      </c>
      <c r="Y243" s="2" t="inlineStr">
        <is>
          <t>None found</t>
        </is>
      </c>
      <c r="Z243" s="2" t="inlineStr">
        <is>
          <t>Online quote form feeding multiple regional hubs</t>
        </is>
      </c>
      <c r="AA243" s="2" t="inlineStr">
        <is>
          <t>Lead routing</t>
        </is>
      </c>
      <c r="AB243" s="2" t="inlineStr">
        <is>
          <t>High</t>
        </is>
      </c>
      <c r="AC243" s="2" t="inlineStr">
        <is>
          <t>Your site has a dedicated solar quote page and separate hub pages for regions from Kerikeri to Christchurch.</t>
        </is>
      </c>
      <c r="AD243" s="2" t="inlineStr">
        <is>
          <t>Supports the lead routing idea: Online quote form feeding multiple regional hubs</t>
        </is>
      </c>
      <c r="AE243" s="2" t="inlineStr">
        <is>
          <t>I noticed your site has a dedicated solar quote page and separate hub pages for regions from Kerikeri to Christchurch.</t>
        </is>
      </c>
      <c r="AF243" s="2" t="inlineStr">
        <is>
          <t>A lead routing idea for Lightforce Solar</t>
        </is>
      </c>
      <c r="AG243" s="2" t="inlineStr">
        <is>
          <t>Hi Lightforce Solar team,
I noticed your site has a dedicated solar quote page and separate hub pages for regions from Kerikeri to Christchurch.
I work with businesses on AI and workflow automation. For a solar company like Lightforce Solar, new enquiries could be sorted automatically by location or project type and sent to the right office or salesperson with a notification.
Leads reach the right person faster and none sit in a shared inbox.
Would it be useful if I showed you how this could work with your current setup?
Best,
[Sender Name]
AI Automation Specialist</t>
        </is>
      </c>
      <c r="AH243" s="2" t="inlineStr">
        <is>
          <t>https://lightforce.co.nz/solar-quote/</t>
        </is>
      </c>
      <c r="AI243" s="2" t="inlineStr">
        <is>
          <t>info@lightforce.co.nz appears across hub pages; /solar-quote/ page; hub locations page lists many regions.</t>
        </is>
      </c>
      <c r="AJ243" s="2" t="inlineStr">
        <is>
          <t>Company website (quote page, hub pages)</t>
        </is>
      </c>
      <c r="AK243" s="2" t="inlineStr">
        <is>
          <t>High</t>
        </is>
      </c>
      <c r="AL243" s="2" t="inlineStr">
        <is>
          <t>Ready</t>
        </is>
      </c>
      <c r="AM243" s="2" t="inlineStr">
        <is>
          <t>Not Sent</t>
        </is>
      </c>
      <c r="AN243" s="2" t="n"/>
      <c r="AO243" s="2" t="inlineStr">
        <is>
          <t>Batch 3 | Company size claims from search summary. | Email source: https://lightforce.co.nz/solar-installer-locations/</t>
        </is>
      </c>
    </row>
    <row r="244">
      <c r="A244" s="2" t="inlineStr"/>
      <c r="B244" s="2" t="inlineStr">
        <is>
          <t>AVID Solar</t>
        </is>
      </c>
      <c r="C244" s="2" t="inlineStr"/>
      <c r="D244" s="2" t="inlineStr"/>
      <c r="E244" s="2" t="inlineStr">
        <is>
          <t>info@avidsolar.co.nz</t>
        </is>
      </c>
      <c r="F244" s="2" t="inlineStr">
        <is>
          <t>New Zealand</t>
        </is>
      </c>
      <c r="G244" s="2" t="inlineStr">
        <is>
          <t>Auckland</t>
        </is>
      </c>
      <c r="H244" s="2" t="inlineStr">
        <is>
          <t>Auckland (Avondale)</t>
        </is>
      </c>
      <c r="I244" s="2" t="inlineStr">
        <is>
          <t>https://avidsolar.co.nz/</t>
        </is>
      </c>
      <c r="J244" s="2" t="inlineStr">
        <is>
          <t>Residential &amp; commercial solar installer</t>
        </is>
      </c>
      <c r="K244" s="2" t="inlineStr">
        <is>
          <t>Solar PV, inverters, battery storage</t>
        </is>
      </c>
      <c r="L244" s="2" t="inlineStr">
        <is>
          <t>Residential &amp; Commercial</t>
        </is>
      </c>
      <c r="M244" s="2" t="inlineStr">
        <is>
          <t>Unknown</t>
        </is>
      </c>
      <c r="N244" s="2" t="inlineStr">
        <is>
          <t>Auckland, Whangarei, Waikato</t>
        </is>
      </c>
      <c r="O244" s="2" t="inlineStr">
        <is>
          <t>Base in Avondale, Auckland; serves Whangarei and Waikato</t>
        </is>
      </c>
      <c r="P244" s="2" t="inlineStr">
        <is>
          <t>Unknown</t>
        </is>
      </c>
      <c r="Q244" s="2" t="inlineStr">
        <is>
          <t>Unknown</t>
        </is>
      </c>
      <c r="R244" s="2" t="inlineStr">
        <is>
          <t>Unknown</t>
        </is>
      </c>
      <c r="S244" s="2" t="inlineStr">
        <is>
          <t>Yes</t>
        </is>
      </c>
      <c r="T244" s="2" t="inlineStr">
        <is>
          <t>Unknown</t>
        </is>
      </c>
      <c r="U244" s="2" t="inlineStr">
        <is>
          <t>Phone + email; in-house after-sales support</t>
        </is>
      </c>
      <c r="V244" s="2" t="inlineStr">
        <is>
          <t>Website form; phone 0800; Facebook; LinkedIn</t>
        </is>
      </c>
      <c r="W244" s="2" t="inlineStr">
        <is>
          <t>In-house design-to-install team</t>
        </is>
      </c>
      <c r="X244" s="2" t="inlineStr">
        <is>
          <t>Serves three regions</t>
        </is>
      </c>
      <c r="Y244" s="2" t="inlineStr">
        <is>
          <t>None found</t>
        </is>
      </c>
      <c r="Z244" s="2" t="inlineStr">
        <is>
          <t>Website form then team calls back</t>
        </is>
      </c>
      <c r="AA244" s="2" t="inlineStr">
        <is>
          <t>Missed lead recovery</t>
        </is>
      </c>
      <c r="AB244" s="2" t="inlineStr">
        <is>
          <t>Medium</t>
        </is>
      </c>
      <c r="AC244" s="2" t="inlineStr">
        <is>
          <t>Your site says you handle everything in-house from design to after-sales support across Auckland, Whangarei and Waikato.</t>
        </is>
      </c>
      <c r="AD244" s="2" t="inlineStr">
        <is>
          <t>Supports the missed lead recovery idea: Website form then team calls back</t>
        </is>
      </c>
      <c r="AE244" s="2" t="inlineStr">
        <is>
          <t>I came across AVID Solar and noticed your site says you handle everything in-house from design to after-sales support across Auckland, Whangarei and Waikato.</t>
        </is>
      </c>
      <c r="AF244" s="2" t="inlineStr">
        <is>
          <t>Missed solar leads at AVID Solar</t>
        </is>
      </c>
      <c r="AG244" s="2" t="inlineStr">
        <is>
          <t>Hi AVID Solar team,
I came across AVID Solar and noticed your site says you handle everything in-house from design to after-sales support across Auckland, Whangarei and Waikato.
I work with businesses on AI and workflow automation. For a solar company like AVID Solar, enquiries that never booked, or calls that were missed, could get an automatic follow up by SMS or email, with the lead flagged for a callback.
It helps you pick up leads that would otherwise go cold.
Would it be useful if I showed you how this could work with your current setup?
Best,
[Sender Name]
AI Automation Specialist</t>
        </is>
      </c>
      <c r="AH244" s="2" t="inlineStr">
        <is>
          <t>https://avidsolar.co.nz/contact-avid-solar/</t>
        </is>
      </c>
      <c r="AI244" s="2" t="inlineStr">
        <is>
          <t>Contact page 'Contact AVID Solar in Auckland, Whangarei and Waikato'; email in LinkedIn/SEANZ/site results; form on homepage.</t>
        </is>
      </c>
      <c r="AJ244" s="2" t="inlineStr">
        <is>
          <t>Company website (contact page)</t>
        </is>
      </c>
      <c r="AK244" s="2" t="inlineStr">
        <is>
          <t>High</t>
        </is>
      </c>
      <c r="AL244" s="2" t="inlineStr">
        <is>
          <t>Ready</t>
        </is>
      </c>
      <c r="AM244" s="2" t="inlineStr">
        <is>
          <t>Not Sent</t>
        </is>
      </c>
      <c r="AN244" s="2" t="n"/>
      <c r="AO244" s="2" t="inlineStr">
        <is>
          <t>Batch 3</t>
        </is>
      </c>
    </row>
    <row r="245">
      <c r="A245" s="2" t="inlineStr">
        <is>
          <t>Sean Fitzpatrick</t>
        </is>
      </c>
      <c r="B245" s="2" t="inlineStr">
        <is>
          <t>Bay Solar</t>
        </is>
      </c>
      <c r="C245" s="2" t="inlineStr">
        <is>
          <t>Sean</t>
        </is>
      </c>
      <c r="D245" s="2" t="inlineStr">
        <is>
          <t>Co-owner</t>
        </is>
      </c>
      <c r="E245" s="2" t="inlineStr">
        <is>
          <t>sean@baysolar.co.nz</t>
        </is>
      </c>
      <c r="F245" s="2" t="inlineStr">
        <is>
          <t>New Zealand</t>
        </is>
      </c>
      <c r="G245" s="2" t="inlineStr">
        <is>
          <t>Bay of Plenty</t>
        </is>
      </c>
      <c r="H245" s="2" t="inlineStr">
        <is>
          <t>Papamoa</t>
        </is>
      </c>
      <c r="I245" s="2" t="inlineStr">
        <is>
          <t>https://www.baysolar.co.nz/</t>
        </is>
      </c>
      <c r="J245" s="2" t="inlineStr">
        <is>
          <t>Residential &amp; commercial solar installer</t>
        </is>
      </c>
      <c r="K245" s="2" t="inlineStr">
        <is>
          <t>Solar PV, commercial systems (10-100kW+), solar finance options</t>
        </is>
      </c>
      <c r="L245" s="2" t="inlineStr">
        <is>
          <t>Residential &amp; Commercial</t>
        </is>
      </c>
      <c r="M245" s="2" t="inlineStr">
        <is>
          <t>Small; 500+ systems installed (per site)</t>
        </is>
      </c>
      <c r="N245" s="2" t="inlineStr">
        <is>
          <t>Tauranga &amp; Bay of Plenty</t>
        </is>
      </c>
      <c r="O245" s="2" t="inlineStr">
        <is>
          <t>1 (Papamoa)</t>
        </is>
      </c>
      <c r="P245" s="2" t="inlineStr">
        <is>
          <t>Unknown</t>
        </is>
      </c>
      <c r="Q245" s="2" t="inlineStr">
        <is>
          <t>Unknown</t>
        </is>
      </c>
      <c r="R245" s="2" t="inlineStr">
        <is>
          <t>Unknown</t>
        </is>
      </c>
      <c r="S245" s="2" t="inlineStr">
        <is>
          <t>Unknown</t>
        </is>
      </c>
      <c r="T245" s="2" t="inlineStr">
        <is>
          <t>Unknown</t>
        </is>
      </c>
      <c r="U245" s="2" t="inlineStr">
        <is>
          <t>Phone + email</t>
        </is>
      </c>
      <c r="V245" s="2" t="inlineStr">
        <is>
          <t>Website contact page; Facebook; finance page</t>
        </is>
      </c>
      <c r="W245" s="2" t="inlineStr">
        <is>
          <t>Owner-led sales</t>
        </is>
      </c>
      <c r="X245" s="2" t="inlineStr">
        <is>
          <t>500+ solar systems installed over 7 years</t>
        </is>
      </c>
      <c r="Y245" s="2" t="inlineStr">
        <is>
          <t>Finance options page (/finance-for-solar/)</t>
        </is>
      </c>
      <c r="Z245" s="2" t="inlineStr">
        <is>
          <t>Owner handles enquiries by email/phone</t>
        </is>
      </c>
      <c r="AA245" s="2" t="inlineStr">
        <is>
          <t>Quote follow up</t>
        </is>
      </c>
      <c r="AB245" s="2" t="inlineStr">
        <is>
          <t>Medium</t>
        </is>
      </c>
      <c r="AC245" s="2" t="inlineStr">
        <is>
          <t>Your site says you and your brother Daniel have installed more than 500 solar systems around Tauranga and the Bay of Plenty.</t>
        </is>
      </c>
      <c r="AD245" s="2" t="inlineStr">
        <is>
          <t>Supports the quote follow up idea: Owner handles enquiries by email/phone</t>
        </is>
      </c>
      <c r="AE245" s="2" t="inlineStr">
        <is>
          <t>I noticed your site says you and your brother Daniel have installed more than 500 solar systems around Tauranga and the Bay of Plenty.</t>
        </is>
      </c>
      <c r="AF245" s="2" t="inlineStr">
        <is>
          <t>A solar quote follow up idea</t>
        </is>
      </c>
      <c r="AG245" s="2" t="inlineStr">
        <is>
          <t>Hi Sean,
I noticed your site says you and your brother Daniel have installed more than 500 solar systems around Tauranga and the Bay of Plenty.
I work with businesses on AI and workflow automation. For a solar company like Bay Solar, after a quote goes out, a short sequence could check in by email or SMS, answer common questions and alert the salesperson when someone replies or opens it again.
Fewer quotes go quiet just because nobody had time to follow up.
Would it be useful if I showed you how this could work with your current setup?
Best,
[Sender Name]
AI Automation Specialist</t>
        </is>
      </c>
      <c r="AH245" s="2" t="inlineStr">
        <is>
          <t>https://www.baysolar.co.nz/about-us/</t>
        </is>
      </c>
      <c r="AI245" s="2" t="inlineStr">
        <is>
          <t>Co-owned by brothers Sean and Daniel Fitzpatrick; 500+ installs; finance page; sean@ email associated with site.</t>
        </is>
      </c>
      <c r="AJ245" s="2" t="inlineStr">
        <is>
          <t>Company website (about/contact page)</t>
        </is>
      </c>
      <c r="AK245" s="2" t="inlineStr">
        <is>
          <t>High</t>
        </is>
      </c>
      <c r="AL245" s="2" t="inlineStr">
        <is>
          <t>Ready</t>
        </is>
      </c>
      <c r="AM245" s="2" t="inlineStr">
        <is>
          <t>Not Sent</t>
        </is>
      </c>
      <c r="AN245" s="2" t="n"/>
      <c r="AO245" s="2" t="inlineStr">
        <is>
          <t>Batch 3 | Contact is a named owner email. | Email source: https://www.baysolar.co.nz/contact/</t>
        </is>
      </c>
    </row>
    <row r="246">
      <c r="A246" s="2" t="inlineStr"/>
      <c r="B246" s="2" t="inlineStr">
        <is>
          <t>Sunshine Solar</t>
        </is>
      </c>
      <c r="C246" s="2" t="inlineStr"/>
      <c r="D246" s="2" t="inlineStr"/>
      <c r="E246" s="2" t="inlineStr"/>
      <c r="F246" s="2" t="inlineStr">
        <is>
          <t>New Zealand</t>
        </is>
      </c>
      <c r="G246" s="2" t="inlineStr">
        <is>
          <t>Canterbury</t>
        </is>
      </c>
      <c r="H246" s="2" t="inlineStr">
        <is>
          <t>Christchurch</t>
        </is>
      </c>
      <c r="I246" s="2" t="inlineStr">
        <is>
          <t>https://sunshinesolar.co.nz/</t>
        </is>
      </c>
      <c r="J246" s="2" t="inlineStr">
        <is>
          <t>Residential &amp; commercial solar installer</t>
        </is>
      </c>
      <c r="K246" s="2" t="inlineStr">
        <is>
          <t>Solar PV, battery storage</t>
        </is>
      </c>
      <c r="L246" s="2" t="inlineStr">
        <is>
          <t>Residential, Commercial &amp; Industrial</t>
        </is>
      </c>
      <c r="M246" s="2" t="inlineStr">
        <is>
          <t>11-50 employees (LinkedIn snippet); 7,000+ installs</t>
        </is>
      </c>
      <c r="N246" s="2" t="inlineStr">
        <is>
          <t>New Zealand-wide incl. Christchurch &amp; Queenstown</t>
        </is>
      </c>
      <c r="O246" s="2" t="inlineStr">
        <is>
          <t>Unknown</t>
        </is>
      </c>
      <c r="P246" s="2" t="inlineStr">
        <is>
          <t>Yes</t>
        </is>
      </c>
      <c r="Q246" s="2" t="inlineStr">
        <is>
          <t>Unknown</t>
        </is>
      </c>
      <c r="R246" s="2" t="inlineStr">
        <is>
          <t>Unknown</t>
        </is>
      </c>
      <c r="S246" s="2" t="inlineStr">
        <is>
          <t>Unknown</t>
        </is>
      </c>
      <c r="T246" s="2" t="inlineStr">
        <is>
          <t>Unknown</t>
        </is>
      </c>
      <c r="U246" s="2" t="inlineStr">
        <is>
          <t>Unknown</t>
        </is>
      </c>
      <c r="V246" s="2" t="inlineStr"/>
      <c r="W246" s="2" t="inlineStr">
        <is>
          <t>None found</t>
        </is>
      </c>
      <c r="X246" s="2" t="inlineStr">
        <is>
          <t>7,000+ installations nationwide</t>
        </is>
      </c>
      <c r="Y246" s="2" t="inlineStr">
        <is>
          <t>None found</t>
        </is>
      </c>
      <c r="Z246" s="2" t="inlineStr">
        <is>
          <t>Website quote/contact form + phone</t>
        </is>
      </c>
      <c r="AA246" s="2" t="inlineStr">
        <is>
          <t>Quote request automation</t>
        </is>
      </c>
      <c r="AB246" s="2" t="inlineStr">
        <is>
          <t>Medium</t>
        </is>
      </c>
      <c r="AC246" s="2" t="inlineStr">
        <is>
          <t>Your site says you've focused only on solar for over two decades.</t>
        </is>
      </c>
      <c r="AD246" s="2" t="inlineStr">
        <is>
          <t>Supports the quote request automation idea: Website quote/contact form + phone</t>
        </is>
      </c>
      <c r="AE246" s="2" t="inlineStr">
        <is>
          <t>I noticed your site says you've focused only on solar for over two decades.</t>
        </is>
      </c>
      <c r="AF246" s="2" t="inlineStr">
        <is>
          <t>A solar quote workflow idea</t>
        </is>
      </c>
      <c r="AG246" s="2" t="inlineStr">
        <is>
          <t>Hi Sunshine Solar team,
I noticed your site says you've focused only on solar for over two decades.
I work with businesses on AI and workflow automation. For a solar company like Sunshine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46" s="2" t="inlineStr">
        <is>
          <t>https://www.sunshinesolar.co.nz/contact</t>
        </is>
      </c>
      <c r="AI246" s="2" t="inlineStr">
        <is>
          <t>Solar-only since 2003/04; 7,000-8,000+ installs; contact page 'Free Quote &amp; Solar Advice'; Queenstown page; 11-50 staff per LinkedIn snippet.</t>
        </is>
      </c>
      <c r="AJ246" s="2" t="inlineStr">
        <is>
          <t>Company website</t>
        </is>
      </c>
      <c r="AK246" s="2" t="inlineStr">
        <is>
          <t>Medium</t>
        </is>
      </c>
      <c r="AL246" s="2" t="inlineStr">
        <is>
          <t>Reject</t>
        </is>
      </c>
      <c r="AM246" s="2" t="inlineStr">
        <is>
          <t>Not Sent</t>
        </is>
      </c>
      <c r="AN246" s="2" t="n"/>
      <c r="AO246" s="2" t="inlineStr">
        <is>
          <t>Batch 3 | Email not found; ContactOut suggests {first}@ format but no exact address seen - not used. | No publicly verified business email found.</t>
        </is>
      </c>
    </row>
    <row r="247">
      <c r="A247" s="2" t="inlineStr"/>
      <c r="B247" s="2" t="inlineStr">
        <is>
          <t>Harrisons Solar</t>
        </is>
      </c>
      <c r="C247" s="2" t="inlineStr"/>
      <c r="D247" s="2" t="inlineStr"/>
      <c r="E247" s="2" t="inlineStr"/>
      <c r="F247" s="2" t="inlineStr">
        <is>
          <t>New Zealand</t>
        </is>
      </c>
      <c r="G247" s="2" t="inlineStr"/>
      <c r="H247" s="2" t="inlineStr"/>
      <c r="I247" s="2" t="inlineStr">
        <is>
          <t>https://www.harrisonssolar.co.nz/</t>
        </is>
      </c>
      <c r="J247" s="2" t="inlineStr">
        <is>
          <t>Residential solar installer (franchise network)</t>
        </is>
      </c>
      <c r="K247" s="2" t="inlineStr">
        <is>
          <t>Solar PV</t>
        </is>
      </c>
      <c r="L247" s="2" t="inlineStr">
        <is>
          <t>Residential</t>
        </is>
      </c>
      <c r="M247" s="2" t="inlineStr">
        <is>
          <t>Unknown</t>
        </is>
      </c>
      <c r="N247" s="2" t="inlineStr">
        <is>
          <t>New Zealand-wide (local owner-operators incl. Christchurch, Bay of Plenty, Tauranga, Rotorua)</t>
        </is>
      </c>
      <c r="O247" s="2" t="inlineStr">
        <is>
          <t>Unknown</t>
        </is>
      </c>
      <c r="P247" s="2" t="inlineStr">
        <is>
          <t>Yes</t>
        </is>
      </c>
      <c r="Q247" s="2" t="inlineStr">
        <is>
          <t>Unknown</t>
        </is>
      </c>
      <c r="R247" s="2" t="inlineStr">
        <is>
          <t>Unknown</t>
        </is>
      </c>
      <c r="S247" s="2" t="inlineStr">
        <is>
          <t>Unknown</t>
        </is>
      </c>
      <c r="T247" s="2" t="inlineStr">
        <is>
          <t>Unknown</t>
        </is>
      </c>
      <c r="U247" s="2" t="inlineStr">
        <is>
          <t>Unknown</t>
        </is>
      </c>
      <c r="V247" s="2" t="inlineStr"/>
      <c r="W247" s="2" t="inlineStr">
        <is>
          <t>None found</t>
        </is>
      </c>
      <c r="X247" s="2" t="inlineStr">
        <is>
          <t>Multiple regional owner-operators</t>
        </is>
      </c>
      <c r="Y247" s="2" t="inlineStr">
        <is>
          <t>None found</t>
        </is>
      </c>
      <c r="Z247" s="2" t="inlineStr">
        <is>
          <t>Website quote/contact form + phone</t>
        </is>
      </c>
      <c r="AA247" s="2" t="inlineStr">
        <is>
          <t>Quote request automation</t>
        </is>
      </c>
      <c r="AB247" s="2" t="inlineStr">
        <is>
          <t>Medium</t>
        </is>
      </c>
      <c r="AC247" s="2" t="inlineStr">
        <is>
          <t>Your local-owner pages offer a free on-site visit and quote.</t>
        </is>
      </c>
      <c r="AD247" s="2" t="inlineStr">
        <is>
          <t>Supports the quote request automation idea: Website quote/contact form + phone</t>
        </is>
      </c>
      <c r="AE247" s="2" t="inlineStr">
        <is>
          <t>I came across Harrisons Solar and noticed your local-owner pages offer a free on-site visit and quote.</t>
        </is>
      </c>
      <c r="AF247" s="2" t="inlineStr">
        <is>
          <t>Quote requests at Harrisons Solar</t>
        </is>
      </c>
      <c r="AG247" s="2" t="inlineStr">
        <is>
          <t>Hi Harrisons Solar team,
I came across Harrisons Solar and noticed your local-owner pages offer a free on-site visit and quote.
I work with businesses on AI and workflow automation. For a solar company like Harrisons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47" s="2" t="inlineStr">
        <is>
          <t>https://www.harrisonssolar.co.nz/owner/solar-bay-of-plenty</t>
        </is>
      </c>
      <c r="AI247" s="2" t="inlineStr">
        <is>
          <t>Owner pages per region; offers free on-site visit and quote.</t>
        </is>
      </c>
      <c r="AJ247" s="2" t="inlineStr">
        <is>
          <t>Company website</t>
        </is>
      </c>
      <c r="AK247" s="2" t="inlineStr">
        <is>
          <t>Medium</t>
        </is>
      </c>
      <c r="AL247" s="2" t="inlineStr">
        <is>
          <t>Reject</t>
        </is>
      </c>
      <c r="AM247" s="2" t="inlineStr">
        <is>
          <t>Not Sent</t>
        </is>
      </c>
      <c r="AN247" s="2" t="n"/>
      <c r="AO247" s="2" t="inlineStr">
        <is>
          <t>Batch 3 | Email not found; search budget exhausted before email lookup. | No publicly verified business email found.</t>
        </is>
      </c>
    </row>
    <row r="248">
      <c r="A248" s="2" t="inlineStr"/>
      <c r="B248" s="2" t="inlineStr">
        <is>
          <t>ZEN Energy</t>
        </is>
      </c>
      <c r="C248" s="2" t="inlineStr"/>
      <c r="D248" s="2" t="inlineStr"/>
      <c r="E248" s="2" t="inlineStr"/>
      <c r="F248" s="2" t="inlineStr">
        <is>
          <t>New Zealand</t>
        </is>
      </c>
      <c r="G248" s="2" t="inlineStr"/>
      <c r="H248" s="2" t="inlineStr"/>
      <c r="I248" s="2" t="inlineStr">
        <is>
          <t>https://www.zenenergy.co.nz/</t>
        </is>
      </c>
      <c r="J248" s="2" t="inlineStr">
        <is>
          <t>Residential &amp; commercial solar installer</t>
        </is>
      </c>
      <c r="K248" s="2" t="inlineStr">
        <is>
          <t>Solar PV</t>
        </is>
      </c>
      <c r="L248" s="2" t="inlineStr">
        <is>
          <t>Residential &amp; Commercial</t>
        </is>
      </c>
      <c r="M248" s="2" t="inlineStr">
        <is>
          <t>Unknown</t>
        </is>
      </c>
      <c r="N248" s="2" t="inlineStr">
        <is>
          <t>Hamilton/Waikato, Tauranga/Bay of Plenty and more</t>
        </is>
      </c>
      <c r="O248" s="2" t="inlineStr">
        <is>
          <t>Unknown</t>
        </is>
      </c>
      <c r="P248" s="2" t="inlineStr">
        <is>
          <t>Unknown</t>
        </is>
      </c>
      <c r="Q248" s="2" t="inlineStr">
        <is>
          <t>Unknown</t>
        </is>
      </c>
      <c r="R248" s="2" t="inlineStr">
        <is>
          <t>Unknown</t>
        </is>
      </c>
      <c r="S248" s="2" t="inlineStr">
        <is>
          <t>Unknown</t>
        </is>
      </c>
      <c r="T248" s="2" t="inlineStr">
        <is>
          <t>Unknown</t>
        </is>
      </c>
      <c r="U248" s="2" t="inlineStr">
        <is>
          <t>Unknown</t>
        </is>
      </c>
      <c r="V248" s="2" t="inlineStr"/>
      <c r="W248" s="2" t="inlineStr">
        <is>
          <t>None found</t>
        </is>
      </c>
      <c r="X248" s="2" t="inlineStr">
        <is>
          <t>Multiple location pages</t>
        </is>
      </c>
      <c r="Y248" s="2" t="inlineStr">
        <is>
          <t>None found</t>
        </is>
      </c>
      <c r="Z248" s="2" t="inlineStr">
        <is>
          <t>Website quote/contact form + phone</t>
        </is>
      </c>
      <c r="AA248" s="2" t="inlineStr">
        <is>
          <t>Quote request automation</t>
        </is>
      </c>
      <c r="AB248" s="2" t="inlineStr">
        <is>
          <t>Medium</t>
        </is>
      </c>
      <c r="AC248" s="2" t="inlineStr">
        <is>
          <t>Your site has dedicated location pages for Hamilton and Tauranga.</t>
        </is>
      </c>
      <c r="AD248" s="2" t="inlineStr">
        <is>
          <t>Supports the quote request automation idea: Website quote/contact form + phone</t>
        </is>
      </c>
      <c r="AE248" s="2" t="inlineStr">
        <is>
          <t>I noticed your site has dedicated location pages for Hamilton and Tauranga.</t>
        </is>
      </c>
      <c r="AF248" s="2" t="inlineStr">
        <is>
          <t>A solar quote workflow idea</t>
        </is>
      </c>
      <c r="AG248" s="2" t="inlineStr">
        <is>
          <t>Hi ZEN Energy team,
I noticed your site has dedicated location pages for Hamilton and Tauranga.
I work with businesses on AI and workflow automation. For a solar company like ZEN Energy,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48" s="2" t="inlineStr">
        <is>
          <t>https://www.zenenergy.co.nz/location/solar-tauranga-bay-of-plenty</t>
        </is>
      </c>
      <c r="AI248" s="2" t="inlineStr">
        <is>
          <t>Location pages for Hamilton &amp; Waikato and Tauranga &amp; BOP.</t>
        </is>
      </c>
      <c r="AJ248" s="2" t="inlineStr">
        <is>
          <t>Company website</t>
        </is>
      </c>
      <c r="AK248" s="2" t="inlineStr">
        <is>
          <t>Medium</t>
        </is>
      </c>
      <c r="AL248" s="2" t="inlineStr">
        <is>
          <t>Reject</t>
        </is>
      </c>
      <c r="AM248" s="2" t="inlineStr">
        <is>
          <t>Not Sent</t>
        </is>
      </c>
      <c r="AN248" s="2" t="n"/>
      <c r="AO248" s="2" t="inlineStr">
        <is>
          <t>Batch 3 | Email not found; search budget exhausted before email lookup. | No publicly verified business email found.</t>
        </is>
      </c>
    </row>
    <row r="249">
      <c r="A249" s="2" t="inlineStr"/>
      <c r="B249" s="2" t="inlineStr">
        <is>
          <t>Solar Group</t>
        </is>
      </c>
      <c r="C249" s="2" t="inlineStr"/>
      <c r="D249" s="2" t="inlineStr"/>
      <c r="E249" s="2" t="inlineStr"/>
      <c r="F249" s="2" t="inlineStr">
        <is>
          <t>New Zealand</t>
        </is>
      </c>
      <c r="G249" s="2" t="inlineStr">
        <is>
          <t>Waikato</t>
        </is>
      </c>
      <c r="H249" s="2" t="inlineStr"/>
      <c r="I249" s="2" t="inlineStr">
        <is>
          <t>https://solargroup.co.nz/</t>
        </is>
      </c>
      <c r="J249" s="2" t="inlineStr">
        <is>
          <t>Residential &amp; commercial solar installer</t>
        </is>
      </c>
      <c r="K249" s="2" t="inlineStr">
        <is>
          <t>Solar PV</t>
        </is>
      </c>
      <c r="L249" s="2" t="inlineStr">
        <is>
          <t>Residential &amp; Commercial</t>
        </is>
      </c>
      <c r="M249" s="2" t="inlineStr">
        <is>
          <t>Unknown</t>
        </is>
      </c>
      <c r="N249" s="2" t="inlineStr">
        <is>
          <t>Hamilton &amp; Waikato (location pages)</t>
        </is>
      </c>
      <c r="O249" s="2" t="inlineStr">
        <is>
          <t>Unknown</t>
        </is>
      </c>
      <c r="P249" s="2" t="inlineStr">
        <is>
          <t>Unknown</t>
        </is>
      </c>
      <c r="Q249" s="2" t="inlineStr">
        <is>
          <t>Yes</t>
        </is>
      </c>
      <c r="R249" s="2" t="inlineStr">
        <is>
          <t>Unknown</t>
        </is>
      </c>
      <c r="S249" s="2" t="inlineStr">
        <is>
          <t>Unknown</t>
        </is>
      </c>
      <c r="T249" s="2" t="inlineStr">
        <is>
          <t>Unknown</t>
        </is>
      </c>
      <c r="U249" s="2" t="inlineStr">
        <is>
          <t>Unknown</t>
        </is>
      </c>
      <c r="V249" s="2" t="inlineStr"/>
      <c r="W249" s="2" t="inlineStr">
        <is>
          <t>None found</t>
        </is>
      </c>
      <c r="X249" s="2" t="inlineStr">
        <is>
          <t>None found</t>
        </is>
      </c>
      <c r="Y249" s="2" t="inlineStr">
        <is>
          <t>None found</t>
        </is>
      </c>
      <c r="Z249" s="2" t="inlineStr">
        <is>
          <t>Website quote/contact form + phone</t>
        </is>
      </c>
      <c r="AA249" s="2" t="inlineStr">
        <is>
          <t>Quote request automation</t>
        </is>
      </c>
      <c r="AB249" s="2" t="inlineStr">
        <is>
          <t>Low</t>
        </is>
      </c>
      <c r="AC249" s="2" t="inlineStr">
        <is>
          <t>Your Hamilton page offers a free consultation on new solar panels.</t>
        </is>
      </c>
      <c r="AD249" s="2" t="inlineStr">
        <is>
          <t>Supports the quote request automation idea: Website quote/contact form + phone</t>
        </is>
      </c>
      <c r="AE249" s="2" t="inlineStr">
        <is>
          <t>I was looking at your website and saw that your Hamilton page offers a free consultation on new solar panels.</t>
        </is>
      </c>
      <c r="AF249" s="2" t="inlineStr">
        <is>
          <t>Quote requests at Solar Group</t>
        </is>
      </c>
      <c r="AG249" s="2" t="inlineStr">
        <is>
          <t>Hi Solar Group team,
I was looking at your website and saw that your Hamilton page offers a free consultation on new solar panels.
I work with businesses on AI and workflow automation. For a solar company like Solar Group,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49" s="2" t="inlineStr">
        <is>
          <t>https://solargroup.co.nz/locations/solar-panels-hamilton-nz/</t>
        </is>
      </c>
      <c r="AI249" s="2" t="inlineStr">
        <is>
          <t>SEANZ member; offers free consultation; location pages.</t>
        </is>
      </c>
      <c r="AJ249" s="2" t="inlineStr">
        <is>
          <t>Company website</t>
        </is>
      </c>
      <c r="AK249" s="2" t="inlineStr">
        <is>
          <t>Medium</t>
        </is>
      </c>
      <c r="AL249" s="2" t="inlineStr">
        <is>
          <t>Reject</t>
        </is>
      </c>
      <c r="AM249" s="2" t="inlineStr">
        <is>
          <t>Not Sent</t>
        </is>
      </c>
      <c r="AN249" s="2" t="n"/>
      <c r="AO249" s="2" t="inlineStr">
        <is>
          <t>Batch 3 | Email not found; search budget exhausted before email lookup. | No publicly verified business email found.</t>
        </is>
      </c>
    </row>
    <row r="250">
      <c r="A250" s="2" t="inlineStr"/>
      <c r="B250" s="2" t="inlineStr">
        <is>
          <t>Christchurch Electrical</t>
        </is>
      </c>
      <c r="C250" s="2" t="inlineStr"/>
      <c r="D250" s="2" t="inlineStr"/>
      <c r="E250" s="2" t="inlineStr"/>
      <c r="F250" s="2" t="inlineStr">
        <is>
          <t>New Zealand</t>
        </is>
      </c>
      <c r="G250" s="2" t="inlineStr">
        <is>
          <t>Canterbury</t>
        </is>
      </c>
      <c r="H250" s="2" t="inlineStr">
        <is>
          <t>Christchurch</t>
        </is>
      </c>
      <c r="I250" s="2" t="inlineStr">
        <is>
          <t>https://www.christchurchelectrical.co.nz/</t>
        </is>
      </c>
      <c r="J250" s="2" t="inlineStr">
        <is>
          <t>Electrical contractor with solar division</t>
        </is>
      </c>
      <c r="K250" s="2" t="inlineStr">
        <is>
          <t>Solar PV design, installation, maintenance</t>
        </is>
      </c>
      <c r="L250" s="2" t="inlineStr">
        <is>
          <t>Residential &amp; Commercial</t>
        </is>
      </c>
      <c r="M250" s="2" t="inlineStr">
        <is>
          <t>Unknown</t>
        </is>
      </c>
      <c r="N250" s="2" t="inlineStr">
        <is>
          <t>Canterbury</t>
        </is>
      </c>
      <c r="O250" s="2" t="inlineStr">
        <is>
          <t>Unknown</t>
        </is>
      </c>
      <c r="P250" s="2" t="inlineStr">
        <is>
          <t>Yes</t>
        </is>
      </c>
      <c r="Q250" s="2" t="inlineStr">
        <is>
          <t>Yes</t>
        </is>
      </c>
      <c r="R250" s="2" t="inlineStr">
        <is>
          <t>Unknown</t>
        </is>
      </c>
      <c r="S250" s="2" t="inlineStr">
        <is>
          <t>Unknown</t>
        </is>
      </c>
      <c r="T250" s="2" t="inlineStr">
        <is>
          <t>Unknown</t>
        </is>
      </c>
      <c r="U250" s="2" t="inlineStr">
        <is>
          <t>Unknown</t>
        </is>
      </c>
      <c r="V250" s="2" t="inlineStr"/>
      <c r="W250" s="2" t="inlineStr">
        <is>
          <t>None found</t>
        </is>
      </c>
      <c r="X250" s="2" t="inlineStr">
        <is>
          <t>None found</t>
        </is>
      </c>
      <c r="Y250" s="2" t="inlineStr">
        <is>
          <t>None found</t>
        </is>
      </c>
      <c r="Z250" s="2" t="inlineStr">
        <is>
          <t>Website quote/contact form + phone</t>
        </is>
      </c>
      <c r="AA250" s="2" t="inlineStr">
        <is>
          <t>Quote request automation</t>
        </is>
      </c>
      <c r="AB250" s="2" t="inlineStr">
        <is>
          <t>Low</t>
        </is>
      </c>
      <c r="AC250" s="2" t="inlineStr">
        <is>
          <t>Your solar page covers everything from free consultation to ongoing maintenance.</t>
        </is>
      </c>
      <c r="AD250" s="2" t="inlineStr">
        <is>
          <t>Supports the quote request automation idea: Website quote/contact form + phone</t>
        </is>
      </c>
      <c r="AE250" s="2" t="inlineStr">
        <is>
          <t>I came across Christchurch Electrical and noticed your solar page covers everything from free consultation to ongoing maintenance.</t>
        </is>
      </c>
      <c r="AF250" s="2" t="inlineStr">
        <is>
          <t>A solar quote workflow idea</t>
        </is>
      </c>
      <c r="AG250" s="2" t="inlineStr">
        <is>
          <t>Hi Christchurch Electrical team,
I came across Christchurch Electrical and noticed your solar page covers everything from free consultation to ongoing maintenance.
I work with businesses on AI and workflow automation. For a solar company like Christchurch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0" s="2" t="inlineStr">
        <is>
          <t>https://www.christchurchelectrical.co.nz/solar-power</t>
        </is>
      </c>
      <c r="AI250" s="2" t="inlineStr">
        <is>
          <t>Free consultations and quotes, design, installation and maintenance across Canterbury; phone (03) 366 1718.</t>
        </is>
      </c>
      <c r="AJ250" s="2" t="inlineStr">
        <is>
          <t>Company website</t>
        </is>
      </c>
      <c r="AK250" s="2" t="inlineStr">
        <is>
          <t>Medium</t>
        </is>
      </c>
      <c r="AL250" s="2" t="inlineStr">
        <is>
          <t>Reject</t>
        </is>
      </c>
      <c r="AM250" s="2" t="inlineStr">
        <is>
          <t>Not Sent</t>
        </is>
      </c>
      <c r="AN250" s="2" t="n"/>
      <c r="AO250" s="2" t="inlineStr">
        <is>
          <t>Batch 3 | Email not found; search budget exhausted before email lookup. | No publicly verified business email found.</t>
        </is>
      </c>
    </row>
    <row r="251">
      <c r="A251" s="2" t="inlineStr"/>
      <c r="B251" s="2" t="inlineStr">
        <is>
          <t>Green Energy Services</t>
        </is>
      </c>
      <c r="C251" s="2" t="inlineStr"/>
      <c r="D251" s="2" t="inlineStr"/>
      <c r="E251" s="2" t="inlineStr"/>
      <c r="F251" s="2" t="inlineStr">
        <is>
          <t>New Zealand</t>
        </is>
      </c>
      <c r="G251" s="2" t="inlineStr">
        <is>
          <t>Canterbury</t>
        </is>
      </c>
      <c r="H251" s="2" t="inlineStr">
        <is>
          <t>Christchurch</t>
        </is>
      </c>
      <c r="I251" s="2" t="inlineStr">
        <is>
          <t>https://green-energy.co.nz/</t>
        </is>
      </c>
      <c r="J251" s="2" t="inlineStr">
        <is>
          <t>Residential &amp; commercial solar installer</t>
        </is>
      </c>
      <c r="K251" s="2" t="inlineStr">
        <is>
          <t>Solar PV</t>
        </is>
      </c>
      <c r="L251" s="2" t="inlineStr">
        <is>
          <t>Residential &amp; Commercial</t>
        </is>
      </c>
      <c r="M251" s="2" t="inlineStr">
        <is>
          <t>Unknown</t>
        </is>
      </c>
      <c r="N251" s="2" t="inlineStr">
        <is>
          <t>Christchurch &amp; Canterbury</t>
        </is>
      </c>
      <c r="O251" s="2" t="inlineStr">
        <is>
          <t>Unknown</t>
        </is>
      </c>
      <c r="P251" s="2" t="inlineStr">
        <is>
          <t>Yes</t>
        </is>
      </c>
      <c r="Q251" s="2" t="inlineStr">
        <is>
          <t>Unknown</t>
        </is>
      </c>
      <c r="R251" s="2" t="inlineStr">
        <is>
          <t>Unknown</t>
        </is>
      </c>
      <c r="S251" s="2" t="inlineStr">
        <is>
          <t>Unknown</t>
        </is>
      </c>
      <c r="T251" s="2" t="inlineStr">
        <is>
          <t>Unknown</t>
        </is>
      </c>
      <c r="U251" s="2" t="inlineStr">
        <is>
          <t>Unknown</t>
        </is>
      </c>
      <c r="V251" s="2" t="inlineStr"/>
      <c r="W251" s="2" t="inlineStr">
        <is>
          <t>None found</t>
        </is>
      </c>
      <c r="X251" s="2" t="inlineStr">
        <is>
          <t>None found</t>
        </is>
      </c>
      <c r="Y251" s="2" t="inlineStr">
        <is>
          <t>None found</t>
        </is>
      </c>
      <c r="Z251" s="2" t="inlineStr">
        <is>
          <t>Website quote/contact form + phone</t>
        </is>
      </c>
      <c r="AA251" s="2" t="inlineStr">
        <is>
          <t>Quote request automation</t>
        </is>
      </c>
      <c r="AB251" s="2" t="inlineStr">
        <is>
          <t>Low</t>
        </is>
      </c>
      <c r="AC251" s="2" t="inlineStr">
        <is>
          <t>Your site highlights being Christchurch owned and operated and SEANZ certified.</t>
        </is>
      </c>
      <c r="AD251" s="2" t="inlineStr">
        <is>
          <t>Supports the quote request automation idea: Website quote/contact form + phone</t>
        </is>
      </c>
      <c r="AE251" s="2" t="inlineStr">
        <is>
          <t>I noticed your site highlights being Christchurch owned and operated and SEANZ certified.</t>
        </is>
      </c>
      <c r="AF251" s="2" t="inlineStr">
        <is>
          <t>Quote requests at Green Energy Services</t>
        </is>
      </c>
      <c r="AG251" s="2" t="inlineStr">
        <is>
          <t>Hi Green Energy Services team,
I noticed your site highlights being Christchurch owned and operated and SEANZ certified.
I work with businesses on AI and workflow automation. For a solar company like Green Energy Services,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1" s="2" t="inlineStr">
        <is>
          <t>https://green-energy.co.nz/</t>
        </is>
      </c>
      <c r="AI251" s="2" t="inlineStr">
        <is>
          <t>SEANZ certified; Christchurch owned &amp; operated; free quotes.</t>
        </is>
      </c>
      <c r="AJ251" s="2" t="inlineStr">
        <is>
          <t>Company website</t>
        </is>
      </c>
      <c r="AK251" s="2" t="inlineStr">
        <is>
          <t>Medium</t>
        </is>
      </c>
      <c r="AL251" s="2" t="inlineStr">
        <is>
          <t>Reject</t>
        </is>
      </c>
      <c r="AM251" s="2" t="inlineStr">
        <is>
          <t>Not Sent</t>
        </is>
      </c>
      <c r="AN251" s="2" t="n"/>
      <c r="AO251" s="2" t="inlineStr">
        <is>
          <t>Batch 3 | Email not found; search budget exhausted before email lookup. | No publicly verified business email found.</t>
        </is>
      </c>
    </row>
    <row r="252">
      <c r="A252" s="2" t="inlineStr"/>
      <c r="B252" s="2" t="inlineStr">
        <is>
          <t>StarDelta Electrical and Solar</t>
        </is>
      </c>
      <c r="C252" s="2" t="inlineStr"/>
      <c r="D252" s="2" t="inlineStr"/>
      <c r="E252" s="2" t="inlineStr"/>
      <c r="F252" s="2" t="inlineStr">
        <is>
          <t>New Zealand</t>
        </is>
      </c>
      <c r="G252" s="2" t="inlineStr">
        <is>
          <t>Canterbury</t>
        </is>
      </c>
      <c r="H252" s="2" t="inlineStr">
        <is>
          <t>Christchurch</t>
        </is>
      </c>
      <c r="I252" s="2" t="inlineStr">
        <is>
          <t>https://www.stardelta.co.nz/</t>
        </is>
      </c>
      <c r="J252" s="2" t="inlineStr">
        <is>
          <t>Electrical contractor with solar division</t>
        </is>
      </c>
      <c r="K252" s="2" t="inlineStr">
        <is>
          <t>Solar PV</t>
        </is>
      </c>
      <c r="L252" s="2" t="inlineStr">
        <is>
          <t>Residential &amp; Commercial</t>
        </is>
      </c>
      <c r="M252" s="2" t="inlineStr">
        <is>
          <t>Unknown</t>
        </is>
      </c>
      <c r="N252" s="2" t="inlineStr">
        <is>
          <t>Christchurch &amp; Canterbury</t>
        </is>
      </c>
      <c r="O252" s="2" t="inlineStr">
        <is>
          <t>Unknown</t>
        </is>
      </c>
      <c r="P252" s="2" t="inlineStr">
        <is>
          <t>Yes</t>
        </is>
      </c>
      <c r="Q252" s="2" t="inlineStr">
        <is>
          <t>Unknown</t>
        </is>
      </c>
      <c r="R252" s="2" t="inlineStr">
        <is>
          <t>Unknown</t>
        </is>
      </c>
      <c r="S252" s="2" t="inlineStr">
        <is>
          <t>Unknown</t>
        </is>
      </c>
      <c r="T252" s="2" t="inlineStr">
        <is>
          <t>Unknown</t>
        </is>
      </c>
      <c r="U252" s="2" t="inlineStr">
        <is>
          <t>Unknown</t>
        </is>
      </c>
      <c r="V252" s="2" t="inlineStr"/>
      <c r="W252" s="2" t="inlineStr">
        <is>
          <t>None found</t>
        </is>
      </c>
      <c r="X252" s="2" t="inlineStr">
        <is>
          <t>None found</t>
        </is>
      </c>
      <c r="Y252" s="2" t="inlineStr">
        <is>
          <t>None found</t>
        </is>
      </c>
      <c r="Z252" s="2" t="inlineStr">
        <is>
          <t>Website quote/contact form + phone</t>
        </is>
      </c>
      <c r="AA252" s="2" t="inlineStr">
        <is>
          <t>Quote request automation</t>
        </is>
      </c>
      <c r="AB252" s="2" t="inlineStr">
        <is>
          <t>Low</t>
        </is>
      </c>
      <c r="AC252" s="2" t="inlineStr">
        <is>
          <t>Your solar page offers a free no-obligation quote.</t>
        </is>
      </c>
      <c r="AD252" s="2" t="inlineStr">
        <is>
          <t>Supports the quote request automation idea: Website quote/contact form + phone</t>
        </is>
      </c>
      <c r="AE252" s="2" t="inlineStr">
        <is>
          <t>I was looking at your website and saw that your solar page offers a free no-obligation quote.</t>
        </is>
      </c>
      <c r="AF252" s="2" t="inlineStr">
        <is>
          <t>A solar quote workflow idea</t>
        </is>
      </c>
      <c r="AG252" s="2" t="inlineStr">
        <is>
          <t>Hi StarDelta Electrical and Solar team,
I was looking at your website and saw that your solar page offers a free no-obligation quote.
I work with businesses on AI and workflow automation. For a solar company like StarDelta Electrical and Solar,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2" s="2" t="inlineStr">
        <is>
          <t>https://www.stardelta.co.nz/solar-christchurch-canterbury/</t>
        </is>
      </c>
      <c r="AI252" s="2" t="inlineStr">
        <is>
          <t>Solar page offers free no-obligation quote.</t>
        </is>
      </c>
      <c r="AJ252" s="2" t="inlineStr">
        <is>
          <t>Company website</t>
        </is>
      </c>
      <c r="AK252" s="2" t="inlineStr">
        <is>
          <t>Medium</t>
        </is>
      </c>
      <c r="AL252" s="2" t="inlineStr">
        <is>
          <t>Reject</t>
        </is>
      </c>
      <c r="AM252" s="2" t="inlineStr">
        <is>
          <t>Not Sent</t>
        </is>
      </c>
      <c r="AN252" s="2" t="n"/>
      <c r="AO252" s="2" t="inlineStr">
        <is>
          <t>Batch 3 | Email not found; search budget exhausted before email lookup. | No publicly verified business email found.</t>
        </is>
      </c>
    </row>
    <row r="253">
      <c r="A253" s="2" t="inlineStr"/>
      <c r="B253" s="2" t="inlineStr">
        <is>
          <t>2E Electrical</t>
        </is>
      </c>
      <c r="C253" s="2" t="inlineStr"/>
      <c r="D253" s="2" t="inlineStr"/>
      <c r="E253" s="2" t="inlineStr"/>
      <c r="F253" s="2" t="inlineStr">
        <is>
          <t>New Zealand</t>
        </is>
      </c>
      <c r="G253" s="2" t="inlineStr">
        <is>
          <t>Waikato</t>
        </is>
      </c>
      <c r="H253" s="2" t="inlineStr">
        <is>
          <t>Hamilton</t>
        </is>
      </c>
      <c r="I253" s="2" t="inlineStr">
        <is>
          <t>https://www.2eelectrical.co.nz/</t>
        </is>
      </c>
      <c r="J253" s="2" t="inlineStr">
        <is>
          <t>Electrical contractor with solar division</t>
        </is>
      </c>
      <c r="K253" s="2" t="inlineStr">
        <is>
          <t>Solar PV</t>
        </is>
      </c>
      <c r="L253" s="2" t="inlineStr">
        <is>
          <t>Residential &amp; Commercial</t>
        </is>
      </c>
      <c r="M253" s="2" t="inlineStr">
        <is>
          <t>Unknown</t>
        </is>
      </c>
      <c r="N253" s="2" t="inlineStr">
        <is>
          <t>Hamilton &amp; Waikato</t>
        </is>
      </c>
      <c r="O253" s="2" t="inlineStr">
        <is>
          <t>Unknown</t>
        </is>
      </c>
      <c r="P253" s="2" t="inlineStr">
        <is>
          <t>Unknown</t>
        </is>
      </c>
      <c r="Q253" s="2" t="inlineStr">
        <is>
          <t>Unknown</t>
        </is>
      </c>
      <c r="R253" s="2" t="inlineStr">
        <is>
          <t>Unknown</t>
        </is>
      </c>
      <c r="S253" s="2" t="inlineStr">
        <is>
          <t>Unknown</t>
        </is>
      </c>
      <c r="T253" s="2" t="inlineStr">
        <is>
          <t>Unknown</t>
        </is>
      </c>
      <c r="U253" s="2" t="inlineStr">
        <is>
          <t>Unknown</t>
        </is>
      </c>
      <c r="V253" s="2" t="inlineStr"/>
      <c r="W253" s="2" t="inlineStr">
        <is>
          <t>None found</t>
        </is>
      </c>
      <c r="X253" s="2" t="inlineStr">
        <is>
          <t>None found</t>
        </is>
      </c>
      <c r="Y253" s="2" t="inlineStr">
        <is>
          <t>None found</t>
        </is>
      </c>
      <c r="Z253" s="2" t="inlineStr">
        <is>
          <t>Website quote/contact form + phone</t>
        </is>
      </c>
      <c r="AA253" s="2" t="inlineStr">
        <is>
          <t>Quote request automation</t>
        </is>
      </c>
      <c r="AB253" s="2" t="inlineStr">
        <is>
          <t>Low</t>
        </is>
      </c>
      <c r="AC253" s="2" t="inlineStr">
        <is>
          <t>Your site has a dedicated solar installation page for Hamilton and Waikato.</t>
        </is>
      </c>
      <c r="AD253" s="2" t="inlineStr">
        <is>
          <t>Supports the quote request automation idea: Website quote/contact form + phone</t>
        </is>
      </c>
      <c r="AE253" s="2" t="inlineStr">
        <is>
          <t>I came across 2E Electrical and noticed your site has a dedicated solar installation page for Hamilton and Waikato.</t>
        </is>
      </c>
      <c r="AF253" s="2" t="inlineStr">
        <is>
          <t>Quote requests at 2E Electrical</t>
        </is>
      </c>
      <c r="AG253" s="2" t="inlineStr">
        <is>
          <t>Hi 2E Electrical team,
I came across 2E Electrical and noticed your site has a dedicated solar installation page for Hamilton and Waikato.
I work with businesses on AI and workflow automation. For a solar company like 2E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3" s="2" t="inlineStr">
        <is>
          <t>https://www.2eelectrical.co.nz/services/solar-installation-services/</t>
        </is>
      </c>
      <c r="AI253" s="2" t="inlineStr">
        <is>
          <t>Solar installation services page; phone 0800 233 532.</t>
        </is>
      </c>
      <c r="AJ253" s="2" t="inlineStr">
        <is>
          <t>Company website</t>
        </is>
      </c>
      <c r="AK253" s="2" t="inlineStr">
        <is>
          <t>Medium</t>
        </is>
      </c>
      <c r="AL253" s="2" t="inlineStr">
        <is>
          <t>Reject</t>
        </is>
      </c>
      <c r="AM253" s="2" t="inlineStr">
        <is>
          <t>Not Sent</t>
        </is>
      </c>
      <c r="AN253" s="2" t="n"/>
      <c r="AO253" s="2" t="inlineStr">
        <is>
          <t>Batch 3 | Email not found; search budget exhausted before email lookup. | No publicly verified business email found.</t>
        </is>
      </c>
    </row>
    <row r="254">
      <c r="A254" s="2" t="inlineStr"/>
      <c r="B254" s="2" t="inlineStr">
        <is>
          <t>JP Electrics</t>
        </is>
      </c>
      <c r="C254" s="2" t="inlineStr"/>
      <c r="D254" s="2" t="inlineStr"/>
      <c r="E254" s="2" t="inlineStr"/>
      <c r="F254" s="2" t="inlineStr">
        <is>
          <t>New Zealand</t>
        </is>
      </c>
      <c r="G254" s="2" t="inlineStr">
        <is>
          <t>Waikato</t>
        </is>
      </c>
      <c r="H254" s="2" t="inlineStr">
        <is>
          <t>Hamilton</t>
        </is>
      </c>
      <c r="I254" s="2" t="inlineStr">
        <is>
          <t>https://www.jpelectrics.nz/</t>
        </is>
      </c>
      <c r="J254" s="2" t="inlineStr">
        <is>
          <t>Electrical contractor with solar division</t>
        </is>
      </c>
      <c r="K254" s="2" t="inlineStr">
        <is>
          <t>Solar PV</t>
        </is>
      </c>
      <c r="L254" s="2" t="inlineStr">
        <is>
          <t>Residential &amp; Commercial</t>
        </is>
      </c>
      <c r="M254" s="2" t="inlineStr">
        <is>
          <t>Unknown</t>
        </is>
      </c>
      <c r="N254" s="2" t="inlineStr">
        <is>
          <t>Hamilton &amp; Waikato</t>
        </is>
      </c>
      <c r="O254" s="2" t="inlineStr">
        <is>
          <t>Unknown</t>
        </is>
      </c>
      <c r="P254" s="2" t="inlineStr">
        <is>
          <t>Unknown</t>
        </is>
      </c>
      <c r="Q254" s="2" t="inlineStr">
        <is>
          <t>Unknown</t>
        </is>
      </c>
      <c r="R254" s="2" t="inlineStr">
        <is>
          <t>Unknown</t>
        </is>
      </c>
      <c r="S254" s="2" t="inlineStr">
        <is>
          <t>Unknown</t>
        </is>
      </c>
      <c r="T254" s="2" t="inlineStr">
        <is>
          <t>Unknown</t>
        </is>
      </c>
      <c r="U254" s="2" t="inlineStr">
        <is>
          <t>Unknown</t>
        </is>
      </c>
      <c r="V254" s="2" t="inlineStr"/>
      <c r="W254" s="2" t="inlineStr">
        <is>
          <t>None found</t>
        </is>
      </c>
      <c r="X254" s="2" t="inlineStr">
        <is>
          <t>None found</t>
        </is>
      </c>
      <c r="Y254" s="2" t="inlineStr">
        <is>
          <t>None found</t>
        </is>
      </c>
      <c r="Z254" s="2" t="inlineStr">
        <is>
          <t>Website quote/contact form + phone</t>
        </is>
      </c>
      <c r="AA254" s="2" t="inlineStr">
        <is>
          <t>Quote request automation</t>
        </is>
      </c>
      <c r="AB254" s="2" t="inlineStr">
        <is>
          <t>Low</t>
        </is>
      </c>
      <c r="AC254" s="2" t="inlineStr">
        <is>
          <t>Your site offers solar design and installation for homes and businesses across the Waikato.</t>
        </is>
      </c>
      <c r="AD254" s="2" t="inlineStr">
        <is>
          <t>Supports the quote request automation idea: Website quote/contact form + phone</t>
        </is>
      </c>
      <c r="AE254" s="2" t="inlineStr">
        <is>
          <t>I noticed your site offers solar design and installation for homes and businesses across the Waikato.</t>
        </is>
      </c>
      <c r="AF254" s="2" t="inlineStr">
        <is>
          <t>A solar quote workflow idea</t>
        </is>
      </c>
      <c r="AG254" s="2" t="inlineStr">
        <is>
          <t>Hi JP Electrics team,
I noticed your site offers solar design and installation for homes and businesses across the Waikato.
I work with businesses on AI and workflow automation. For a solar company like JP Electrics,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4" s="2" t="inlineStr">
        <is>
          <t>https://www.jpelectrics.nz/services/residential/solar-installation-services-in-hamilton-waikato</t>
        </is>
      </c>
      <c r="AI254" s="2" t="inlineStr">
        <is>
          <t>Designs and installs solar for homes and businesses across Hamilton and Waikato.</t>
        </is>
      </c>
      <c r="AJ254" s="2" t="inlineStr">
        <is>
          <t>Company website</t>
        </is>
      </c>
      <c r="AK254" s="2" t="inlineStr">
        <is>
          <t>Medium</t>
        </is>
      </c>
      <c r="AL254" s="2" t="inlineStr">
        <is>
          <t>Reject</t>
        </is>
      </c>
      <c r="AM254" s="2" t="inlineStr">
        <is>
          <t>Not Sent</t>
        </is>
      </c>
      <c r="AN254" s="2" t="n"/>
      <c r="AO254" s="2" t="inlineStr">
        <is>
          <t>Batch 3 | Email not found; search budget exhausted before email lookup. | No publicly verified business email found.</t>
        </is>
      </c>
    </row>
    <row r="255">
      <c r="A255" s="2" t="inlineStr"/>
      <c r="B255" s="2" t="inlineStr">
        <is>
          <t>Connect Electrical</t>
        </is>
      </c>
      <c r="C255" s="2" t="inlineStr"/>
      <c r="D255" s="2" t="inlineStr"/>
      <c r="E255" s="2" t="inlineStr"/>
      <c r="F255" s="2" t="inlineStr">
        <is>
          <t>New Zealand</t>
        </is>
      </c>
      <c r="G255" s="2" t="inlineStr">
        <is>
          <t>Waikato</t>
        </is>
      </c>
      <c r="H255" s="2" t="inlineStr">
        <is>
          <t>Hamilton</t>
        </is>
      </c>
      <c r="I255" s="2" t="inlineStr">
        <is>
          <t>https://www.connectelectrical.co.nz/</t>
        </is>
      </c>
      <c r="J255" s="2" t="inlineStr">
        <is>
          <t>Electrical contractor with solar division</t>
        </is>
      </c>
      <c r="K255" s="2" t="inlineStr">
        <is>
          <t>Solar PV</t>
        </is>
      </c>
      <c r="L255" s="2" t="inlineStr">
        <is>
          <t>Residential &amp; Commercial</t>
        </is>
      </c>
      <c r="M255" s="2" t="inlineStr">
        <is>
          <t>Unknown</t>
        </is>
      </c>
      <c r="N255" s="2" t="inlineStr">
        <is>
          <t>Waikato</t>
        </is>
      </c>
      <c r="O255" s="2" t="inlineStr">
        <is>
          <t>Unknown</t>
        </is>
      </c>
      <c r="P255" s="2" t="inlineStr">
        <is>
          <t>Unknown</t>
        </is>
      </c>
      <c r="Q255" s="2" t="inlineStr">
        <is>
          <t>Unknown</t>
        </is>
      </c>
      <c r="R255" s="2" t="inlineStr">
        <is>
          <t>Unknown</t>
        </is>
      </c>
      <c r="S255" s="2" t="inlineStr">
        <is>
          <t>Unknown</t>
        </is>
      </c>
      <c r="T255" s="2" t="inlineStr">
        <is>
          <t>Unknown</t>
        </is>
      </c>
      <c r="U255" s="2" t="inlineStr">
        <is>
          <t>Unknown</t>
        </is>
      </c>
      <c r="V255" s="2" t="inlineStr"/>
      <c r="W255" s="2" t="inlineStr">
        <is>
          <t>None found</t>
        </is>
      </c>
      <c r="X255" s="2" t="inlineStr">
        <is>
          <t>None found</t>
        </is>
      </c>
      <c r="Y255" s="2" t="inlineStr">
        <is>
          <t>None found</t>
        </is>
      </c>
      <c r="Z255" s="2" t="inlineStr">
        <is>
          <t>Website quote/contact form + phone</t>
        </is>
      </c>
      <c r="AA255" s="2" t="inlineStr">
        <is>
          <t>Quote request automation</t>
        </is>
      </c>
      <c r="AB255" s="2" t="inlineStr">
        <is>
          <t>Low</t>
        </is>
      </c>
      <c r="AC255" s="2" t="inlineStr">
        <is>
          <t>Your site has a solar panel installation page aimed at Hamilton homes and businesses.</t>
        </is>
      </c>
      <c r="AD255" s="2" t="inlineStr">
        <is>
          <t>Supports the quote request automation idea: Website quote/contact form + phone</t>
        </is>
      </c>
      <c r="AE255" s="2" t="inlineStr">
        <is>
          <t>I noticed your site has a solar panel installation page aimed at Hamilton homes and businesses.</t>
        </is>
      </c>
      <c r="AF255" s="2" t="inlineStr">
        <is>
          <t>Quote requests at Connect Electrical</t>
        </is>
      </c>
      <c r="AG255" s="2" t="inlineStr">
        <is>
          <t>Hi Connect Electrical team,
I noticed your site has a solar panel installation page aimed at Hamilton homes and businesses.
I work with businesses on AI and workflow automation. For a solar company like Connect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5" s="2" t="inlineStr">
        <is>
          <t>https://www.connectelectrical.co.nz/services/solar-panel-installation</t>
        </is>
      </c>
      <c r="AI255" s="2" t="inlineStr">
        <is>
          <t>Solar panel installation specialists in Waikato, residential and commercial.</t>
        </is>
      </c>
      <c r="AJ255" s="2" t="inlineStr">
        <is>
          <t>Company website</t>
        </is>
      </c>
      <c r="AK255" s="2" t="inlineStr">
        <is>
          <t>Medium</t>
        </is>
      </c>
      <c r="AL255" s="2" t="inlineStr">
        <is>
          <t>Reject</t>
        </is>
      </c>
      <c r="AM255" s="2" t="inlineStr">
        <is>
          <t>Not Sent</t>
        </is>
      </c>
      <c r="AN255" s="2" t="n"/>
      <c r="AO255" s="2" t="inlineStr">
        <is>
          <t>Batch 3 | Email not found; search budget exhausted before email lookup. | No publicly verified business email found.</t>
        </is>
      </c>
    </row>
    <row r="256">
      <c r="A256" s="2" t="inlineStr"/>
      <c r="B256" s="2" t="inlineStr">
        <is>
          <t>CSR Electrical</t>
        </is>
      </c>
      <c r="C256" s="2" t="inlineStr"/>
      <c r="D256" s="2" t="inlineStr"/>
      <c r="E256" s="2" t="inlineStr"/>
      <c r="F256" s="2" t="inlineStr">
        <is>
          <t>New Zealand</t>
        </is>
      </c>
      <c r="G256" s="2" t="inlineStr">
        <is>
          <t>Waikato</t>
        </is>
      </c>
      <c r="H256" s="2" t="inlineStr">
        <is>
          <t>Hamilton</t>
        </is>
      </c>
      <c r="I256" s="2" t="inlineStr">
        <is>
          <t>https://csrelectrical.co.nz/</t>
        </is>
      </c>
      <c r="J256" s="2" t="inlineStr">
        <is>
          <t>Electrical contractor with solar division</t>
        </is>
      </c>
      <c r="K256" s="2" t="inlineStr">
        <is>
          <t>Solar PV</t>
        </is>
      </c>
      <c r="L256" s="2" t="inlineStr">
        <is>
          <t>Residential</t>
        </is>
      </c>
      <c r="M256" s="2" t="inlineStr">
        <is>
          <t>Unknown</t>
        </is>
      </c>
      <c r="N256" s="2" t="inlineStr">
        <is>
          <t>Hamilton</t>
        </is>
      </c>
      <c r="O256" s="2" t="inlineStr">
        <is>
          <t>Unknown</t>
        </is>
      </c>
      <c r="P256" s="2" t="inlineStr">
        <is>
          <t>Yes</t>
        </is>
      </c>
      <c r="Q256" s="2" t="inlineStr">
        <is>
          <t>Unknown</t>
        </is>
      </c>
      <c r="R256" s="2" t="inlineStr">
        <is>
          <t>Unknown</t>
        </is>
      </c>
      <c r="S256" s="2" t="inlineStr">
        <is>
          <t>Unknown</t>
        </is>
      </c>
      <c r="T256" s="2" t="inlineStr">
        <is>
          <t>Unknown</t>
        </is>
      </c>
      <c r="U256" s="2" t="inlineStr">
        <is>
          <t>Unknown</t>
        </is>
      </c>
      <c r="V256" s="2" t="inlineStr"/>
      <c r="W256" s="2" t="inlineStr">
        <is>
          <t>None found</t>
        </is>
      </c>
      <c r="X256" s="2" t="inlineStr">
        <is>
          <t>None found</t>
        </is>
      </c>
      <c r="Y256" s="2" t="inlineStr">
        <is>
          <t>None found</t>
        </is>
      </c>
      <c r="Z256" s="2" t="inlineStr">
        <is>
          <t>Website quote/contact form + phone</t>
        </is>
      </c>
      <c r="AA256" s="2" t="inlineStr">
        <is>
          <t>Quote request automation</t>
        </is>
      </c>
      <c r="AB256" s="2" t="inlineStr">
        <is>
          <t>Low</t>
        </is>
      </c>
      <c r="AC256" s="2" t="inlineStr">
        <is>
          <t>Your solar page invites Hamilton homeowners to request an installation quote.</t>
        </is>
      </c>
      <c r="AD256" s="2" t="inlineStr">
        <is>
          <t>Supports the quote request automation idea: Website quote/contact form + phone</t>
        </is>
      </c>
      <c r="AE256" s="2" t="inlineStr">
        <is>
          <t>I came across CSR Electrical and noticed your solar page invites Hamilton homeowners to request an installation quote.</t>
        </is>
      </c>
      <c r="AF256" s="2" t="inlineStr">
        <is>
          <t>A solar quote workflow idea</t>
        </is>
      </c>
      <c r="AG256" s="2" t="inlineStr">
        <is>
          <t>Hi CSR Electrical team,
I came across CSR Electrical and noticed your solar page invites Hamilton homeowners to request an installation quote.
I work with businesses on AI and workflow automation. For a solar company like CSR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6" s="2" t="inlineStr">
        <is>
          <t>https://csrelectrical.co.nz/solar/</t>
        </is>
      </c>
      <c r="AI256" s="2" t="inlineStr">
        <is>
          <t>Page titled 'Solar Systems &amp; Panels Hamilton | Solar Installation Quote'.</t>
        </is>
      </c>
      <c r="AJ256" s="2" t="inlineStr">
        <is>
          <t>Company website</t>
        </is>
      </c>
      <c r="AK256" s="2" t="inlineStr">
        <is>
          <t>Low</t>
        </is>
      </c>
      <c r="AL256" s="2" t="inlineStr">
        <is>
          <t>Reject</t>
        </is>
      </c>
      <c r="AM256" s="2" t="inlineStr">
        <is>
          <t>Not Sent</t>
        </is>
      </c>
      <c r="AN256" s="2" t="n"/>
      <c r="AO256" s="2" t="inlineStr">
        <is>
          <t>Batch 3 | Email not found; search budget exhausted before email lookup. | No publicly verified business email found.</t>
        </is>
      </c>
    </row>
    <row r="257">
      <c r="A257" s="2" t="inlineStr"/>
      <c r="B257" s="2" t="inlineStr">
        <is>
          <t>Guild &amp; Spence Electrical</t>
        </is>
      </c>
      <c r="C257" s="2" t="inlineStr"/>
      <c r="D257" s="2" t="inlineStr"/>
      <c r="E257" s="2" t="inlineStr"/>
      <c r="F257" s="2" t="inlineStr">
        <is>
          <t>New Zealand</t>
        </is>
      </c>
      <c r="G257" s="2" t="inlineStr">
        <is>
          <t>Bay of Plenty</t>
        </is>
      </c>
      <c r="H257" s="2" t="inlineStr">
        <is>
          <t>Tauranga</t>
        </is>
      </c>
      <c r="I257" s="2" t="inlineStr">
        <is>
          <t>https://guildspence.co.nz/</t>
        </is>
      </c>
      <c r="J257" s="2" t="inlineStr">
        <is>
          <t>Electrical contractor with solar division</t>
        </is>
      </c>
      <c r="K257" s="2" t="inlineStr">
        <is>
          <t>Solar PV</t>
        </is>
      </c>
      <c r="L257" s="2" t="inlineStr">
        <is>
          <t>Residential</t>
        </is>
      </c>
      <c r="M257" s="2" t="inlineStr">
        <is>
          <t>Unknown</t>
        </is>
      </c>
      <c r="N257" s="2" t="inlineStr">
        <is>
          <t>Tauranga &amp; Bay of Plenty</t>
        </is>
      </c>
      <c r="O257" s="2" t="inlineStr">
        <is>
          <t>Unknown</t>
        </is>
      </c>
      <c r="P257" s="2" t="inlineStr">
        <is>
          <t>Unknown</t>
        </is>
      </c>
      <c r="Q257" s="2" t="inlineStr">
        <is>
          <t>Unknown</t>
        </is>
      </c>
      <c r="R257" s="2" t="inlineStr">
        <is>
          <t>Unknown</t>
        </is>
      </c>
      <c r="S257" s="2" t="inlineStr">
        <is>
          <t>Yes</t>
        </is>
      </c>
      <c r="T257" s="2" t="inlineStr">
        <is>
          <t>Unknown</t>
        </is>
      </c>
      <c r="U257" s="2" t="inlineStr">
        <is>
          <t>Unknown</t>
        </is>
      </c>
      <c r="V257" s="2" t="inlineStr"/>
      <c r="W257" s="2" t="inlineStr">
        <is>
          <t>None found</t>
        </is>
      </c>
      <c r="X257" s="2" t="inlineStr">
        <is>
          <t>None found</t>
        </is>
      </c>
      <c r="Y257" s="2" t="inlineStr">
        <is>
          <t>None found</t>
        </is>
      </c>
      <c r="Z257" s="2" t="inlineStr">
        <is>
          <t>Website quote/contact form + phone</t>
        </is>
      </c>
      <c r="AA257" s="2" t="inlineStr">
        <is>
          <t>Quote request automation</t>
        </is>
      </c>
      <c r="AB257" s="2" t="inlineStr">
        <is>
          <t>Low</t>
        </is>
      </c>
      <c r="AC257" s="2" t="inlineStr">
        <is>
          <t>Your solar page has an enquiry form for Tauranga homeowners.</t>
        </is>
      </c>
      <c r="AD257" s="2" t="inlineStr">
        <is>
          <t>Supports the quote request automation idea: Website quote/contact form + phone</t>
        </is>
      </c>
      <c r="AE257" s="2" t="inlineStr">
        <is>
          <t>I noticed your solar page has an enquiry form for Tauranga homeowners.</t>
        </is>
      </c>
      <c r="AF257" s="2" t="inlineStr">
        <is>
          <t>Quote requests at Guild &amp; Spence Electrical</t>
        </is>
      </c>
      <c r="AG257" s="2" t="inlineStr">
        <is>
          <t>Hi Guild &amp; Spence Electrical team,
I noticed your solar page has an enquiry form for Tauranga homeowners.
I work with businesses on AI and workflow automation. For a solar company like Guild &amp; Spence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7" s="2" t="inlineStr">
        <is>
          <t>https://guildspence.co.nz/services/solar-systems/</t>
        </is>
      </c>
      <c r="AI257" s="2" t="inlineStr">
        <is>
          <t>Residential solar system service; contact form on page.</t>
        </is>
      </c>
      <c r="AJ257" s="2" t="inlineStr">
        <is>
          <t>Company website</t>
        </is>
      </c>
      <c r="AK257" s="2" t="inlineStr">
        <is>
          <t>Medium</t>
        </is>
      </c>
      <c r="AL257" s="2" t="inlineStr">
        <is>
          <t>Reject</t>
        </is>
      </c>
      <c r="AM257" s="2" t="inlineStr">
        <is>
          <t>Not Sent</t>
        </is>
      </c>
      <c r="AN257" s="2" t="n"/>
      <c r="AO257" s="2" t="inlineStr">
        <is>
          <t>Batch 3 | Email not found; search budget exhausted before email lookup. | No publicly verified business email found.</t>
        </is>
      </c>
    </row>
    <row r="258">
      <c r="A258" s="2" t="inlineStr"/>
      <c r="B258" s="2" t="inlineStr">
        <is>
          <t>AJ's Electrical</t>
        </is>
      </c>
      <c r="C258" s="2" t="inlineStr"/>
      <c r="D258" s="2" t="inlineStr"/>
      <c r="E258" s="2" t="inlineStr"/>
      <c r="F258" s="2" t="inlineStr">
        <is>
          <t>New Zealand</t>
        </is>
      </c>
      <c r="G258" s="2" t="inlineStr">
        <is>
          <t>Bay of Plenty</t>
        </is>
      </c>
      <c r="H258" s="2" t="inlineStr">
        <is>
          <t>Tauranga</t>
        </is>
      </c>
      <c r="I258" s="2" t="inlineStr">
        <is>
          <t>https://www.electriciantauranga.co.nz/</t>
        </is>
      </c>
      <c r="J258" s="2" t="inlineStr">
        <is>
          <t>Electrical contractor with solar division</t>
        </is>
      </c>
      <c r="K258" s="2" t="inlineStr">
        <is>
          <t>Solar PV</t>
        </is>
      </c>
      <c r="L258" s="2" t="inlineStr">
        <is>
          <t>Residential &amp; Commercial</t>
        </is>
      </c>
      <c r="M258" s="2" t="inlineStr">
        <is>
          <t>Unknown</t>
        </is>
      </c>
      <c r="N258" s="2" t="inlineStr">
        <is>
          <t>Bay of Plenty</t>
        </is>
      </c>
      <c r="O258" s="2" t="inlineStr">
        <is>
          <t>Unknown</t>
        </is>
      </c>
      <c r="P258" s="2" t="inlineStr">
        <is>
          <t>Unknown</t>
        </is>
      </c>
      <c r="Q258" s="2" t="inlineStr">
        <is>
          <t>Unknown</t>
        </is>
      </c>
      <c r="R258" s="2" t="inlineStr">
        <is>
          <t>Unknown</t>
        </is>
      </c>
      <c r="S258" s="2" t="inlineStr">
        <is>
          <t>Unknown</t>
        </is>
      </c>
      <c r="T258" s="2" t="inlineStr">
        <is>
          <t>Unknown</t>
        </is>
      </c>
      <c r="U258" s="2" t="inlineStr">
        <is>
          <t>Unknown</t>
        </is>
      </c>
      <c r="V258" s="2" t="inlineStr"/>
      <c r="W258" s="2" t="inlineStr">
        <is>
          <t>None found</t>
        </is>
      </c>
      <c r="X258" s="2" t="inlineStr">
        <is>
          <t>650+ systems installed (summary)</t>
        </is>
      </c>
      <c r="Y258" s="2" t="inlineStr">
        <is>
          <t>None found</t>
        </is>
      </c>
      <c r="Z258" s="2" t="inlineStr">
        <is>
          <t>Website quote/contact form + phone</t>
        </is>
      </c>
      <c r="AA258" s="2" t="inlineStr">
        <is>
          <t>Quote request automation</t>
        </is>
      </c>
      <c r="AB258" s="2" t="inlineStr">
        <is>
          <t>Low</t>
        </is>
      </c>
      <c r="AC258" s="2" t="inlineStr">
        <is>
          <t>Your site says your team has installed over 650 solar systems.</t>
        </is>
      </c>
      <c r="AD258" s="2" t="inlineStr">
        <is>
          <t>Supports the quote request automation idea: Website quote/contact form + phone</t>
        </is>
      </c>
      <c r="AE258" s="2" t="inlineStr">
        <is>
          <t>I noticed your site says your team has installed over 650 solar systems.</t>
        </is>
      </c>
      <c r="AF258" s="2" t="inlineStr">
        <is>
          <t>A solar quote workflow idea</t>
        </is>
      </c>
      <c r="AG258" s="2" t="inlineStr">
        <is>
          <t>Hi AJ's Electrical team,
I noticed your site says your team has installed over 650 solar systems.
I work with businesses on AI and workflow automation. For a solar company like AJ's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8" s="2" t="inlineStr">
        <is>
          <t>https://www.electriciantauranga.co.nz/solar-electrical-services/</t>
        </is>
      </c>
      <c r="AI258" s="2" t="inlineStr">
        <is>
          <t>Tauranga-based; installed over 650 solar systems (per search summary).</t>
        </is>
      </c>
      <c r="AJ258" s="2" t="inlineStr">
        <is>
          <t>Company website</t>
        </is>
      </c>
      <c r="AK258" s="2" t="inlineStr">
        <is>
          <t>Medium</t>
        </is>
      </c>
      <c r="AL258" s="2" t="inlineStr">
        <is>
          <t>Reject</t>
        </is>
      </c>
      <c r="AM258" s="2" t="inlineStr">
        <is>
          <t>Not Sent</t>
        </is>
      </c>
      <c r="AN258" s="2" t="n"/>
      <c r="AO258" s="2" t="inlineStr">
        <is>
          <t>Batch 3 | Email not found; search budget exhausted before email lookup. | No publicly verified business email found.</t>
        </is>
      </c>
    </row>
    <row r="259">
      <c r="A259" s="2" t="inlineStr"/>
      <c r="B259" s="2" t="inlineStr">
        <is>
          <t>Revolve Electrical</t>
        </is>
      </c>
      <c r="C259" s="2" t="inlineStr"/>
      <c r="D259" s="2" t="inlineStr"/>
      <c r="E259" s="2" t="inlineStr"/>
      <c r="F259" s="2" t="inlineStr">
        <is>
          <t>New Zealand</t>
        </is>
      </c>
      <c r="G259" s="2" t="inlineStr">
        <is>
          <t>Northland</t>
        </is>
      </c>
      <c r="H259" s="2" t="inlineStr"/>
      <c r="I259" s="2" t="inlineStr">
        <is>
          <t>https://www.revolveelectrical.co.nz/</t>
        </is>
      </c>
      <c r="J259" s="2" t="inlineStr">
        <is>
          <t>Electrical contractor with solar division</t>
        </is>
      </c>
      <c r="K259" s="2" t="inlineStr">
        <is>
          <t>Solar PV</t>
        </is>
      </c>
      <c r="L259" s="2" t="inlineStr">
        <is>
          <t>Residential &amp; Commercial</t>
        </is>
      </c>
      <c r="M259" s="2" t="inlineStr">
        <is>
          <t>Unknown</t>
        </is>
      </c>
      <c r="N259" s="2" t="inlineStr">
        <is>
          <t>Northland</t>
        </is>
      </c>
      <c r="O259" s="2" t="inlineStr">
        <is>
          <t>Unknown</t>
        </is>
      </c>
      <c r="P259" s="2" t="inlineStr">
        <is>
          <t>Unknown</t>
        </is>
      </c>
      <c r="Q259" s="2" t="inlineStr">
        <is>
          <t>Unknown</t>
        </is>
      </c>
      <c r="R259" s="2" t="inlineStr">
        <is>
          <t>Unknown</t>
        </is>
      </c>
      <c r="S259" s="2" t="inlineStr">
        <is>
          <t>Unknown</t>
        </is>
      </c>
      <c r="T259" s="2" t="inlineStr">
        <is>
          <t>Unknown</t>
        </is>
      </c>
      <c r="U259" s="2" t="inlineStr">
        <is>
          <t>Unknown</t>
        </is>
      </c>
      <c r="V259" s="2" t="inlineStr"/>
      <c r="W259" s="2" t="inlineStr">
        <is>
          <t>None found</t>
        </is>
      </c>
      <c r="X259" s="2" t="inlineStr">
        <is>
          <t>None found</t>
        </is>
      </c>
      <c r="Y259" s="2" t="inlineStr">
        <is>
          <t>None found</t>
        </is>
      </c>
      <c r="Z259" s="2" t="inlineStr">
        <is>
          <t>Website quote/contact form + phone</t>
        </is>
      </c>
      <c r="AA259" s="2" t="inlineStr">
        <is>
          <t>Quote request automation</t>
        </is>
      </c>
      <c r="AB259" s="2" t="inlineStr">
        <is>
          <t>Low</t>
        </is>
      </c>
      <c r="AC259" s="2" t="inlineStr">
        <is>
          <t>Your solar page is aimed at homeowners across Northland.</t>
        </is>
      </c>
      <c r="AD259" s="2" t="inlineStr">
        <is>
          <t>Supports the quote request automation idea: Website quote/contact form + phone</t>
        </is>
      </c>
      <c r="AE259" s="2" t="inlineStr">
        <is>
          <t>I came across Revolve Electrical and noticed your solar page is aimed at homeowners across Northland.</t>
        </is>
      </c>
      <c r="AF259" s="2" t="inlineStr">
        <is>
          <t>Quote requests at Revolve Electrical</t>
        </is>
      </c>
      <c r="AG259" s="2" t="inlineStr">
        <is>
          <t>Hi Revolve Electrical team,
I came across Revolve Electrical and noticed your solar page is aimed at homeowners across Northland.
I work with businesses on AI and workflow automation. For a solar company like Revolve Electrical,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59" s="2" t="inlineStr">
        <is>
          <t>https://www.revolveelectrical.co.nz/solar</t>
        </is>
      </c>
      <c r="AI259" s="2" t="inlineStr">
        <is>
          <t>Solar system solutions for Northland residents.</t>
        </is>
      </c>
      <c r="AJ259" s="2" t="inlineStr">
        <is>
          <t>Company website</t>
        </is>
      </c>
      <c r="AK259" s="2" t="inlineStr">
        <is>
          <t>Medium</t>
        </is>
      </c>
      <c r="AL259" s="2" t="inlineStr">
        <is>
          <t>Reject</t>
        </is>
      </c>
      <c r="AM259" s="2" t="inlineStr">
        <is>
          <t>Not Sent</t>
        </is>
      </c>
      <c r="AN259" s="2" t="n"/>
      <c r="AO259" s="2" t="inlineStr">
        <is>
          <t>Batch 3 | Email not found; search budget exhausted before email lookup. | No publicly verified business email found.</t>
        </is>
      </c>
    </row>
    <row r="260">
      <c r="A260" s="2" t="inlineStr"/>
      <c r="B260" s="2" t="inlineStr">
        <is>
          <t>SolarPulse</t>
        </is>
      </c>
      <c r="C260" s="2" t="inlineStr"/>
      <c r="D260" s="2" t="inlineStr"/>
      <c r="E260" s="2" t="inlineStr"/>
      <c r="F260" s="2" t="inlineStr">
        <is>
          <t>New Zealand</t>
        </is>
      </c>
      <c r="G260" s="2" t="inlineStr"/>
      <c r="H260" s="2" t="inlineStr"/>
      <c r="I260" s="2" t="inlineStr">
        <is>
          <t>https://www.solarpulse.co.nz/</t>
        </is>
      </c>
      <c r="J260" s="2" t="inlineStr">
        <is>
          <t>Solar installer</t>
        </is>
      </c>
      <c r="K260" s="2" t="inlineStr">
        <is>
          <t>Solar PV</t>
        </is>
      </c>
      <c r="L260" s="2" t="inlineStr">
        <is>
          <t>Residential</t>
        </is>
      </c>
      <c r="M260" s="2" t="inlineStr">
        <is>
          <t>Unknown</t>
        </is>
      </c>
      <c r="N260" s="2" t="inlineStr">
        <is>
          <t>New Zealand (unclear)</t>
        </is>
      </c>
      <c r="O260" s="2" t="inlineStr">
        <is>
          <t>Unknown</t>
        </is>
      </c>
      <c r="P260" s="2" t="inlineStr">
        <is>
          <t>Yes</t>
        </is>
      </c>
      <c r="Q260" s="2" t="inlineStr">
        <is>
          <t>Unknown</t>
        </is>
      </c>
      <c r="R260" s="2" t="inlineStr">
        <is>
          <t>Unknown</t>
        </is>
      </c>
      <c r="S260" s="2" t="inlineStr">
        <is>
          <t>Yes</t>
        </is>
      </c>
      <c r="T260" s="2" t="inlineStr">
        <is>
          <t>Unknown</t>
        </is>
      </c>
      <c r="U260" s="2" t="inlineStr">
        <is>
          <t>Unknown</t>
        </is>
      </c>
      <c r="V260" s="2" t="inlineStr"/>
      <c r="W260" s="2" t="inlineStr">
        <is>
          <t>None found</t>
        </is>
      </c>
      <c r="X260" s="2" t="inlineStr">
        <is>
          <t>None found</t>
        </is>
      </c>
      <c r="Y260" s="2" t="inlineStr">
        <is>
          <t>None found</t>
        </is>
      </c>
      <c r="Z260" s="2" t="inlineStr">
        <is>
          <t>Website quote/contact form + phone</t>
        </is>
      </c>
      <c r="AA260" s="2" t="inlineStr">
        <is>
          <t>Quote request automation</t>
        </is>
      </c>
      <c r="AB260" s="2" t="inlineStr">
        <is>
          <t>Low</t>
        </is>
      </c>
      <c r="AC260" s="2" t="inlineStr">
        <is>
          <t>Your homepage asks visitors to fill out a form to get a solar quote.</t>
        </is>
      </c>
      <c r="AD260" s="2" t="inlineStr">
        <is>
          <t>Supports the quote request automation idea: Website quote/contact form + phone</t>
        </is>
      </c>
      <c r="AE260" s="2" t="inlineStr">
        <is>
          <t>I noticed your homepage asks visitors to fill out a form to get a solar quote.</t>
        </is>
      </c>
      <c r="AF260" s="2" t="inlineStr">
        <is>
          <t>A solar quote workflow idea</t>
        </is>
      </c>
      <c r="AG260" s="2" t="inlineStr">
        <is>
          <t>Hi SolarPulse team,
I noticed your homepage asks visitors to fill out a form to get a solar quote.
I work with businesses on AI and workflow automation. For a solar company like SolarPulse, each quote request could be checked automatically, sorted by system size and location, logged in your CRM or a sheet, and answered with a first reply within minutes.
It cuts the manual copy and paste between the form, inbox and pipeline.
Would it be useful if I showed you how this could work with your current setup?
Best,
[Sender Name]
AI Automation Specialist</t>
        </is>
      </c>
      <c r="AH260" s="2" t="inlineStr">
        <is>
          <t>https://www.solarpulse.co.nz/</t>
        </is>
      </c>
      <c r="AI260" s="2" t="inlineStr">
        <is>
          <t>Homepage quote form.</t>
        </is>
      </c>
      <c r="AJ260" s="2" t="inlineStr">
        <is>
          <t>Company website</t>
        </is>
      </c>
      <c r="AK260" s="2" t="inlineStr">
        <is>
          <t>Low</t>
        </is>
      </c>
      <c r="AL260" s="2" t="inlineStr">
        <is>
          <t>Reject</t>
        </is>
      </c>
      <c r="AM260" s="2" t="inlineStr">
        <is>
          <t>Not Sent</t>
        </is>
      </c>
      <c r="AN260" s="2" t="n"/>
      <c r="AO260" s="2" t="inlineStr">
        <is>
          <t>Batch 3 | Location not verified; email not found. | No publicly verified business email found.</t>
        </is>
      </c>
    </row>
  </sheetData>
  <autoFilter ref="A1:AO2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cols>
    <col width="45" customWidth="1" min="1" max="1"/>
    <col width="12" customWidth="1" min="2" max="2"/>
    <col width="60" customWidth="1" min="3" max="3"/>
  </cols>
  <sheetData>
    <row r="1">
      <c r="A1" s="3" t="inlineStr">
        <is>
          <t>Metric</t>
        </is>
      </c>
      <c r="B1" s="3" t="inlineStr">
        <is>
          <t>Count</t>
        </is>
      </c>
      <c r="C1" s="3" t="inlineStr">
        <is>
          <t>How counted</t>
        </is>
      </c>
    </row>
    <row r="2">
      <c r="A2" s="4" t="inlineStr">
        <is>
          <t>Total Prospects</t>
        </is>
      </c>
      <c r="B2" s="4">
        <f>COUNTA('Solar Automation Prospects'!$B$2:$B$260)</f>
        <v/>
      </c>
      <c r="C2" s="4" t="inlineStr">
        <is>
          <t>Live formula over prospects sheet</t>
        </is>
      </c>
    </row>
    <row r="3">
      <c r="A3" s="4" t="inlineStr">
        <is>
          <t>Ready Prospects</t>
        </is>
      </c>
      <c r="B3" s="4">
        <f>COUNTIF('Solar Automation Prospects'!$AL$2:$AL$260,"Ready")</f>
        <v/>
      </c>
      <c r="C3" s="4" t="inlineStr">
        <is>
          <t>Live formula over prospects sheet</t>
        </is>
      </c>
    </row>
    <row r="4">
      <c r="A4" s="4" t="inlineStr">
        <is>
          <t>Review Prospects</t>
        </is>
      </c>
      <c r="B4" s="4">
        <f>COUNTIF('Solar Automation Prospects'!$AL$2:$AL$260,"Review")</f>
        <v/>
      </c>
      <c r="C4" s="4" t="inlineStr">
        <is>
          <t>Live formula over prospects sheet</t>
        </is>
      </c>
    </row>
    <row r="5">
      <c r="A5" s="4" t="inlineStr">
        <is>
          <t>Rejected Prospects</t>
        </is>
      </c>
      <c r="B5" s="4">
        <f>COUNTIF('Solar Automation Prospects'!$AL$2:$AL$260,"Reject")</f>
        <v/>
      </c>
      <c r="C5" s="4" t="inlineStr">
        <is>
          <t>Live formula over prospects sheet</t>
        </is>
      </c>
    </row>
    <row r="6">
      <c r="A6" s="4" t="inlineStr">
        <is>
          <t>High Buying Intent</t>
        </is>
      </c>
      <c r="B6" s="4">
        <f>COUNTIF('Solar Automation Prospects'!$AB$2:$AB$260,"High")</f>
        <v/>
      </c>
      <c r="C6" s="4" t="inlineStr">
        <is>
          <t>Live formula over prospects sheet</t>
        </is>
      </c>
    </row>
    <row r="7">
      <c r="A7" s="4" t="inlineStr">
        <is>
          <t>Medium Buying Intent</t>
        </is>
      </c>
      <c r="B7" s="4">
        <f>COUNTIF('Solar Automation Prospects'!$AB$2:$AB$260,"Medium")</f>
        <v/>
      </c>
      <c r="C7" s="4" t="inlineStr">
        <is>
          <t>Live formula over prospects sheet</t>
        </is>
      </c>
    </row>
    <row r="8">
      <c r="A8" s="4" t="inlineStr">
        <is>
          <t>Low Buying Intent</t>
        </is>
      </c>
      <c r="B8" s="4">
        <f>COUNTIF('Solar Automation Prospects'!$AB$2:$AB$260,"Low")</f>
        <v/>
      </c>
      <c r="C8" s="4" t="inlineStr">
        <is>
          <t>Live formula over prospects sheet</t>
        </is>
      </c>
    </row>
    <row r="9">
      <c r="A9" s="4" t="inlineStr">
        <is>
          <t>High Research Confidence</t>
        </is>
      </c>
      <c r="B9" s="4">
        <f>COUNTIF('Solar Automation Prospects'!$AK$2:$AK$260,"High")</f>
        <v/>
      </c>
      <c r="C9" s="4" t="inlineStr">
        <is>
          <t>Live formula over prospects sheet</t>
        </is>
      </c>
    </row>
    <row r="10">
      <c r="A10" s="4" t="inlineStr">
        <is>
          <t>Medium Research Confidence</t>
        </is>
      </c>
      <c r="B10" s="4">
        <f>COUNTIF('Solar Automation Prospects'!$AK$2:$AK$260,"Medium")</f>
        <v/>
      </c>
      <c r="C10" s="4" t="inlineStr">
        <is>
          <t>Live formula over prospects sheet</t>
        </is>
      </c>
    </row>
    <row r="11">
      <c r="A11" s="4" t="inlineStr">
        <is>
          <t>Low Research Confidence</t>
        </is>
      </c>
      <c r="B11" s="4">
        <f>COUNTIF('Solar Automation Prospects'!$AK$2:$AK$260,"Low")</f>
        <v/>
      </c>
      <c r="C11" s="4" t="inlineStr">
        <is>
          <t>Live formula over prospects sheet</t>
        </is>
      </c>
    </row>
    <row r="12">
      <c r="A12" s="4" t="inlineStr">
        <is>
          <t>Quote Request Companies</t>
        </is>
      </c>
      <c r="B12" s="4">
        <f>COUNTIF('Solar Automation Prospects'!$P$2:$P$260,"Yes")</f>
        <v/>
      </c>
      <c r="C12" s="4" t="inlineStr">
        <is>
          <t>Live formula over prospects sheet</t>
        </is>
      </c>
    </row>
    <row r="13">
      <c r="A13" s="4" t="inlineStr">
        <is>
          <t>Appointment Booking Companies</t>
        </is>
      </c>
      <c r="B13" s="4">
        <f>COUNTIF('Solar Automation Prospects'!$R$2:$R$260,"Yes")</f>
        <v/>
      </c>
      <c r="C13" s="4" t="inlineStr">
        <is>
          <t>Live formula over prospects sheet</t>
        </is>
      </c>
    </row>
    <row r="14">
      <c r="A14" s="4" t="inlineStr">
        <is>
          <t>Online Lead Form Companies</t>
        </is>
      </c>
      <c r="B14" s="4">
        <f>COUNTIF('Solar Automation Prospects'!$S$2:$S$260,"Yes")</f>
        <v/>
      </c>
      <c r="C14" s="4" t="inlineStr">
        <is>
          <t>Live formula over prospects sheet</t>
        </is>
      </c>
    </row>
    <row r="15">
      <c r="A15" s="4" t="inlineStr">
        <is>
          <t>Companies With Multiple Locations</t>
        </is>
      </c>
      <c r="B15" s="4" t="n">
        <v>14</v>
      </c>
      <c r="C15" s="4" t="inlineStr">
        <is>
          <t>Locations field shows 2+ offices/branches (counted at build time)</t>
        </is>
      </c>
    </row>
    <row r="16">
      <c r="A16" s="4" t="inlineStr">
        <is>
          <t>Companies With Strong Sales Signals</t>
        </is>
      </c>
      <c r="B16" s="4" t="n">
        <v>48</v>
      </c>
      <c r="C16" s="4" t="inlineStr">
        <is>
          <t>Sales Team Signal has evidence (not 'None found')</t>
        </is>
      </c>
    </row>
    <row r="17">
      <c r="A17" s="4" t="inlineStr">
        <is>
          <t>Companies With Strong Follow Up Signals</t>
        </is>
      </c>
      <c r="B17" s="4" t="n">
        <v>37</v>
      </c>
      <c r="C17" s="4" t="inlineStr">
        <is>
          <t>Follow Up Signal has evidence (not 'None found')</t>
        </is>
      </c>
    </row>
    <row r="18">
      <c r="A18" s="4" t="inlineStr">
        <is>
          <t>Companies With Strong Automation Signals</t>
        </is>
      </c>
      <c r="B18" s="4" t="n">
        <v>40</v>
      </c>
      <c r="C18" s="4" t="inlineStr">
        <is>
          <t>High buying intent and a documented automation signal</t>
        </is>
      </c>
    </row>
    <row r="19">
      <c r="A19" s="4" t="n"/>
      <c r="B19" s="4" t="n"/>
      <c r="C19" s="4" t="n"/>
    </row>
    <row r="20">
      <c r="A20" s="5" t="inlineStr">
        <is>
          <t>Countries</t>
        </is>
      </c>
      <c r="B20" s="4" t="n"/>
      <c r="C20" s="4" t="n"/>
    </row>
    <row r="21">
      <c r="A21" s="4" t="inlineStr">
        <is>
          <t>Australia</t>
        </is>
      </c>
      <c r="B21" s="4">
        <f>COUNTIF('Solar Automation Prospects'!$F$2:$F$260,"Australia")</f>
        <v/>
      </c>
      <c r="C21" s="4" t="n"/>
    </row>
    <row r="22">
      <c r="A22" s="4" t="inlineStr">
        <is>
          <t>Canada</t>
        </is>
      </c>
      <c r="B22" s="4">
        <f>COUNTIF('Solar Automation Prospects'!$F$2:$F$260,"Canada")</f>
        <v/>
      </c>
      <c r="C22" s="4" t="n"/>
    </row>
    <row r="23">
      <c r="A23" s="4" t="inlineStr">
        <is>
          <t>Germany</t>
        </is>
      </c>
      <c r="B23" s="4">
        <f>COUNTIF('Solar Automation Prospects'!$F$2:$F$260,"Germany")</f>
        <v/>
      </c>
      <c r="C23" s="4" t="n"/>
    </row>
    <row r="24">
      <c r="A24" s="4" t="inlineStr">
        <is>
          <t>Ireland</t>
        </is>
      </c>
      <c r="B24" s="4">
        <f>COUNTIF('Solar Automation Prospects'!$F$2:$F$260,"Ireland")</f>
        <v/>
      </c>
      <c r="C24" s="4" t="n"/>
    </row>
    <row r="25">
      <c r="A25" s="4" t="inlineStr">
        <is>
          <t>Netherlands</t>
        </is>
      </c>
      <c r="B25" s="4">
        <f>COUNTIF('Solar Automation Prospects'!$F$2:$F$260,"Netherlands")</f>
        <v/>
      </c>
      <c r="C25" s="4" t="n"/>
    </row>
    <row r="26">
      <c r="A26" s="4" t="inlineStr">
        <is>
          <t>New Zealand</t>
        </is>
      </c>
      <c r="B26" s="4">
        <f>COUNTIF('Solar Automation Prospects'!$F$2:$F$260,"New Zealand")</f>
        <v/>
      </c>
      <c r="C26" s="4" t="n"/>
    </row>
    <row r="27">
      <c r="A27" s="4" t="inlineStr">
        <is>
          <t>United Kingdom</t>
        </is>
      </c>
      <c r="B27" s="4">
        <f>COUNTIF('Solar Automation Prospects'!$F$2:$F$260,"United Kingdom")</f>
        <v/>
      </c>
      <c r="C27" s="4" t="n"/>
    </row>
    <row r="28">
      <c r="A28" s="4" t="inlineStr">
        <is>
          <t>United States</t>
        </is>
      </c>
      <c r="B28" s="4">
        <f>COUNTIF('Solar Automation Prospects'!$F$2:$F$260,"United States")</f>
        <v/>
      </c>
      <c r="C28" s="4" t="n"/>
    </row>
    <row r="29">
      <c r="A29" s="4" t="n"/>
      <c r="B29" s="4" t="n"/>
      <c r="C29" s="4" t="n"/>
    </row>
    <row r="30">
      <c r="A30" s="5" t="inlineStr">
        <is>
          <t>Solar Business Types</t>
        </is>
      </c>
      <c r="B30" s="4" t="n"/>
      <c r="C30" s="4" t="n"/>
    </row>
    <row r="31">
      <c r="A31" s="4" t="inlineStr">
        <is>
          <t>Residential &amp; commercial solar installer</t>
        </is>
      </c>
      <c r="B31" s="4">
        <f>COUNTIF('Solar Automation Prospects'!$J$2:$J$260,"Residential &amp; commercial solar installer")</f>
        <v/>
      </c>
      <c r="C31" s="4" t="n"/>
    </row>
    <row r="32">
      <c r="A32" s="4" t="inlineStr">
        <is>
          <t>Residential solar installer</t>
        </is>
      </c>
      <c r="B32" s="4">
        <f>COUNTIF('Solar Automation Prospects'!$J$2:$J$260,"Residential solar installer")</f>
        <v/>
      </c>
      <c r="C32" s="4" t="n"/>
    </row>
    <row r="33">
      <c r="A33" s="4" t="inlineStr">
        <is>
          <t>Solar &amp; battery installer</t>
        </is>
      </c>
      <c r="B33" s="4">
        <f>COUNTIF('Solar Automation Prospects'!$J$2:$J$260,"Solar &amp; battery installer")</f>
        <v/>
      </c>
      <c r="C33" s="4" t="n"/>
    </row>
    <row r="34">
      <c r="A34" s="4" t="inlineStr">
        <is>
          <t>Roofing + solar contractor</t>
        </is>
      </c>
      <c r="B34" s="4">
        <f>COUNTIF('Solar Automation Prospects'!$J$2:$J$260,"Roofing + solar contractor")</f>
        <v/>
      </c>
      <c r="C34" s="4" t="n"/>
    </row>
    <row r="35">
      <c r="A35" s="4" t="inlineStr">
        <is>
          <t>Solar maintenance</t>
        </is>
      </c>
      <c r="B35" s="4">
        <f>COUNTIF('Solar Automation Prospects'!$J$2:$J$260,"Solar maintenance")</f>
        <v/>
      </c>
      <c r="C35" s="4" t="n"/>
    </row>
    <row r="36">
      <c r="A36" s="4" t="inlineStr">
        <is>
          <t>Electrical contractor with solar division</t>
        </is>
      </c>
      <c r="B36" s="4">
        <f>COUNTIF('Solar Automation Prospects'!$J$2:$J$260,"Electrical contractor with solar division")</f>
        <v/>
      </c>
      <c r="C36" s="4" t="n"/>
    </row>
    <row r="37">
      <c r="A37" s="4" t="inlineStr">
        <is>
          <t>Commercial solar EPC</t>
        </is>
      </c>
      <c r="B37" s="4">
        <f>COUNTIF('Solar Automation Prospects'!$J$2:$J$260,"Commercial solar EPC")</f>
        <v/>
      </c>
      <c r="C37" s="4" t="n"/>
    </row>
    <row r="38">
      <c r="A38" s="4" t="inlineStr">
        <is>
          <t>Solar installer</t>
        </is>
      </c>
      <c r="B38" s="4">
        <f>COUNTIF('Solar Automation Prospects'!$J$2:$J$260,"Solar installer")</f>
        <v/>
      </c>
      <c r="C38" s="4" t="n"/>
    </row>
    <row r="39">
      <c r="A39" s="4" t="inlineStr">
        <is>
          <t>Solar financing</t>
        </is>
      </c>
      <c r="B39" s="4">
        <f>COUNTIF('Solar Automation Prospects'!$J$2:$J$260,"Solar financing")</f>
        <v/>
      </c>
      <c r="C39" s="4" t="n"/>
    </row>
    <row r="40">
      <c r="A40" s="4" t="inlineStr">
        <is>
          <t>Solar &amp; heat pump installer</t>
        </is>
      </c>
      <c r="B40" s="4">
        <f>COUNTIF('Solar Automation Prospects'!$J$2:$J$260,"Solar &amp; heat pump installer")</f>
        <v/>
      </c>
      <c r="C40" s="4" t="n"/>
    </row>
    <row r="41">
      <c r="A41" s="4" t="inlineStr">
        <is>
          <t>Residential &amp; agricultural solar installer</t>
        </is>
      </c>
      <c r="B41" s="4">
        <f>COUNTIF('Solar Automation Prospects'!$J$2:$J$260,"Residential &amp; agricultural solar installer")</f>
        <v/>
      </c>
      <c r="C41" s="4" t="n"/>
    </row>
    <row r="42">
      <c r="A42" s="4" t="inlineStr">
        <is>
          <t>Residential, commercial &amp; agricultural solar installer</t>
        </is>
      </c>
      <c r="B42" s="4">
        <f>COUNTIF('Solar Automation Prospects'!$J$2:$J$260,"Residential, commercial &amp; agricultural solar installer")</f>
        <v/>
      </c>
      <c r="C42" s="4" t="n"/>
    </row>
    <row r="43">
      <c r="A43" s="4" t="inlineStr">
        <is>
          <t>Solar financing (SREC aggregator)</t>
        </is>
      </c>
      <c r="B43" s="4">
        <f>COUNTIF('Solar Automation Prospects'!$J$2:$J$260,"Solar financing (SREC aggregator)")</f>
        <v/>
      </c>
      <c r="C43" s="4" t="n"/>
    </row>
    <row r="44">
      <c r="A44" s="4" t="inlineStr">
        <is>
          <t>EV charger &amp; home electrification installer network</t>
        </is>
      </c>
      <c r="B44" s="4">
        <f>COUNTIF('Solar Automation Prospects'!$J$2:$J$260,"EV charger &amp; home electrification installer network")</f>
        <v/>
      </c>
      <c r="C44" s="4" t="n"/>
    </row>
    <row r="45">
      <c r="A45" s="4" t="inlineStr">
        <is>
          <t>EV charger &amp; solar installer</t>
        </is>
      </c>
      <c r="B45" s="4">
        <f>COUNTIF('Solar Automation Prospects'!$J$2:$J$260,"EV charger &amp; solar installer")</f>
        <v/>
      </c>
      <c r="C45" s="4" t="n"/>
    </row>
    <row r="46">
      <c r="A46" s="4" t="inlineStr">
        <is>
          <t>Electrical contractor + solar &amp; battery installer</t>
        </is>
      </c>
      <c r="B46" s="4">
        <f>COUNTIF('Solar Automation Prospects'!$J$2:$J$260,"Electrical contractor + solar &amp; battery installer")</f>
        <v/>
      </c>
      <c r="C46" s="4" t="n"/>
    </row>
    <row r="47">
      <c r="A47" s="4" t="inlineStr">
        <is>
          <t>Commercial solar &amp; battery installer</t>
        </is>
      </c>
      <c r="B47" s="4">
        <f>COUNTIF('Solar Automation Prospects'!$J$2:$J$260,"Commercial solar &amp; battery installer")</f>
        <v/>
      </c>
      <c r="C47" s="4" t="n"/>
    </row>
    <row r="48">
      <c r="A48" s="4" t="inlineStr">
        <is>
          <t>Solar &amp; multi-trade installer</t>
        </is>
      </c>
      <c r="B48" s="4">
        <f>COUNTIF('Solar Automation Prospects'!$J$2:$J$260,"Solar &amp; multi-trade installer")</f>
        <v/>
      </c>
      <c r="C48" s="4" t="n"/>
    </row>
    <row r="49">
      <c r="A49" s="4" t="inlineStr">
        <is>
          <t>Technical installer incl. solar</t>
        </is>
      </c>
      <c r="B49" s="4">
        <f>COUNTIF('Solar Automation Prospects'!$J$2:$J$260,"Technical installer incl. solar")</f>
        <v/>
      </c>
      <c r="C49" s="4" t="n"/>
    </row>
    <row r="50">
      <c r="A50" s="4" t="inlineStr">
        <is>
          <t>Home sustainability installer incl. solar</t>
        </is>
      </c>
      <c r="B50" s="4">
        <f>COUNTIF('Solar Automation Prospects'!$J$2:$J$260,"Home sustainability installer incl. solar")</f>
        <v/>
      </c>
      <c r="C50" s="4" t="n"/>
    </row>
    <row r="51">
      <c r="A51" s="4" t="inlineStr">
        <is>
          <t>Electrical contractor + solar installer</t>
        </is>
      </c>
      <c r="B51" s="4">
        <f>COUNTIF('Solar Automation Prospects'!$J$2:$J$260,"Electrical contractor + solar installer")</f>
        <v/>
      </c>
      <c r="C51" s="4" t="n"/>
    </row>
    <row r="52">
      <c r="A52" s="4" t="inlineStr">
        <is>
          <t>Agricultural &amp; commercial solar installer</t>
        </is>
      </c>
      <c r="B52" s="4">
        <f>COUNTIF('Solar Automation Prospects'!$J$2:$J$260,"Agricultural &amp; commercial solar installer")</f>
        <v/>
      </c>
      <c r="C52" s="4" t="n"/>
    </row>
    <row r="53">
      <c r="A53" s="4" t="inlineStr">
        <is>
          <t>Commercial &amp; agricultural solar installer</t>
        </is>
      </c>
      <c r="B53" s="4">
        <f>COUNTIF('Solar Automation Prospects'!$J$2:$J$260,"Commercial &amp; agricultural solar installer")</f>
        <v/>
      </c>
      <c r="C53" s="4" t="n"/>
    </row>
    <row r="54">
      <c r="A54" s="4" t="inlineStr">
        <is>
          <t>Residential solar installer (franchise network)</t>
        </is>
      </c>
      <c r="B54" s="4">
        <f>COUNTIF('Solar Automation Prospects'!$J$2:$J$260,"Residential solar installer (franchise network)")</f>
        <v/>
      </c>
      <c r="C54" s="4" t="n"/>
    </row>
    <row r="55">
      <c r="A55" s="4" t="n"/>
      <c r="B55" s="4" t="n"/>
      <c r="C55" s="4" t="n"/>
    </row>
    <row r="56">
      <c r="A56" s="5" t="inlineStr">
        <is>
          <t>Top Automation Opportunities</t>
        </is>
      </c>
      <c r="B56" s="4" t="n"/>
      <c r="C56" s="4" t="n"/>
    </row>
    <row r="57">
      <c r="A57" s="4" t="inlineStr">
        <is>
          <t>Quote request automation</t>
        </is>
      </c>
      <c r="B57" s="4">
        <f>COUNTIF('Solar Automation Prospects'!$AA$2:$AA$260,"Quote request automation")</f>
        <v/>
      </c>
      <c r="C57" s="4" t="n"/>
    </row>
    <row r="58">
      <c r="A58" s="4" t="inlineStr">
        <is>
          <t>Lead routing</t>
        </is>
      </c>
      <c r="B58" s="4">
        <f>COUNTIF('Solar Automation Prospects'!$AA$2:$AA$260,"Lead routing")</f>
        <v/>
      </c>
      <c r="C58" s="4" t="n"/>
    </row>
    <row r="59">
      <c r="A59" s="4" t="inlineStr">
        <is>
          <t>Lead qualification chatbot</t>
        </is>
      </c>
      <c r="B59" s="4">
        <f>COUNTIF('Solar Automation Prospects'!$AA$2:$AA$260,"Lead qualification chatbot")</f>
        <v/>
      </c>
      <c r="C59" s="4" t="n"/>
    </row>
    <row r="60">
      <c r="A60" s="4" t="inlineStr">
        <is>
          <t>Missed lead recovery</t>
        </is>
      </c>
      <c r="B60" s="4">
        <f>COUNTIF('Solar Automation Prospects'!$AA$2:$AA$260,"Missed lead recovery")</f>
        <v/>
      </c>
      <c r="C60" s="4" t="n"/>
    </row>
    <row r="61">
      <c r="A61" s="4" t="inlineStr">
        <is>
          <t>Appointment booking automation</t>
        </is>
      </c>
      <c r="B61" s="4">
        <f>COUNTIF('Solar Automation Prospects'!$AA$2:$AA$260,"Appointment booking automation")</f>
        <v/>
      </c>
      <c r="C61" s="4" t="n"/>
    </row>
    <row r="62">
      <c r="A62" s="4" t="inlineStr">
        <is>
          <t>Customer support automation</t>
        </is>
      </c>
      <c r="B62" s="4">
        <f>COUNTIF('Solar Automation Prospects'!$AA$2:$AA$260,"Customer support automation")</f>
        <v/>
      </c>
      <c r="C62" s="4" t="n"/>
    </row>
    <row r="63">
      <c r="A63" s="4" t="inlineStr">
        <is>
          <t>Site survey scheduling</t>
        </is>
      </c>
      <c r="B63" s="4">
        <f>COUNTIF('Solar Automation Prospects'!$AA$2:$AA$260,"Site survey scheduling")</f>
        <v/>
      </c>
      <c r="C63" s="4" t="n"/>
    </row>
    <row r="64">
      <c r="A64" s="4" t="inlineStr">
        <is>
          <t>Quote follow up</t>
        </is>
      </c>
      <c r="B64" s="4">
        <f>COUNTIF('Solar Automation Prospects'!$AA$2:$AA$260,"Quote follow up")</f>
        <v/>
      </c>
      <c r="C64" s="4" t="n"/>
    </row>
    <row r="65">
      <c r="A65" s="4" t="inlineStr">
        <is>
          <t>Document processing</t>
        </is>
      </c>
      <c r="B65" s="4">
        <f>COUNTIF('Solar Automation Prospects'!$AA$2:$AA$260,"Document processing")</f>
        <v/>
      </c>
      <c r="C65" s="4" t="n"/>
    </row>
    <row r="66">
      <c r="A66" s="4" t="inlineStr">
        <is>
          <t>Email follow up</t>
        </is>
      </c>
      <c r="B66" s="4">
        <f>COUNTIF('Solar Automation Prospects'!$AA$2:$AA$260,"Email follow up")</f>
        <v/>
      </c>
      <c r="C66" s="4" t="n"/>
    </row>
    <row r="67">
      <c r="A67" s="4" t="inlineStr">
        <is>
          <t>Review request automation</t>
        </is>
      </c>
      <c r="B67" s="4">
        <f>COUNTIF('Solar Automation Prospects'!$AA$2:$AA$260,"Review request automation")</f>
        <v/>
      </c>
      <c r="C67" s="4" t="n"/>
    </row>
    <row r="68">
      <c r="A68" s="4" t="inlineStr">
        <is>
          <t>Post installation follow up</t>
        </is>
      </c>
      <c r="B68" s="4">
        <f>COUNTIF('Solar Automation Prospects'!$AA$2:$AA$260,"Post installation follow up")</f>
        <v/>
      </c>
      <c r="C68" s="4" t="n"/>
    </row>
    <row r="69">
      <c r="A69" s="4" t="inlineStr">
        <is>
          <t>CRM automation</t>
        </is>
      </c>
      <c r="B69" s="4">
        <f>COUNTIF('Solar Automation Prospects'!$AA$2:$AA$260,"CRM automation")</f>
        <v/>
      </c>
      <c r="C69" s="4" t="n"/>
    </row>
    <row r="70">
      <c r="A70" s="4" t="inlineStr">
        <is>
          <t>Customer onboarding</t>
        </is>
      </c>
      <c r="B70" s="4">
        <f>COUNTIF('Solar Automation Prospects'!$AA$2:$AA$260,"Customer onboarding")</f>
        <v/>
      </c>
      <c r="C70" s="4" t="n"/>
    </row>
    <row r="71">
      <c r="A71" s="4" t="inlineStr">
        <is>
          <t>WhatsApp automation</t>
        </is>
      </c>
      <c r="B71" s="4">
        <f>COUNTIF('Solar Automation Prospects'!$AA$2:$AA$260,"WhatsApp automation")</f>
        <v/>
      </c>
      <c r="C71" s="4" t="n"/>
    </row>
    <row r="72">
      <c r="A72" s="4" t="inlineStr">
        <is>
          <t>Lead scoring</t>
        </is>
      </c>
      <c r="B72" s="4">
        <f>COUNTIF('Solar Automation Prospects'!$AA$2:$AA$260,"Lead scoring")</f>
        <v/>
      </c>
      <c r="C72" s="4" t="n"/>
    </row>
    <row r="73">
      <c r="A73" s="4" t="n"/>
      <c r="B73" s="4" t="n"/>
      <c r="C73" s="4" t="n"/>
    </row>
    <row r="74">
      <c r="A74" s="5" t="inlineStr">
        <is>
          <t>Summary</t>
        </is>
      </c>
      <c r="B74" s="4" t="n"/>
      <c r="C74" s="4" t="n"/>
    </row>
    <row r="75" ht="150" customHeight="1">
      <c r="A75" s="6" t="inlineStr">
        <is>
          <t>Across 259 verified solar prospects, the most common automation opportunities were quote request automation (139), lead routing (30), lead qualification chatbot (20), missed lead recovery (12), appointment booking automation (12). Most installers publish a quote or free-consultation form and then rely on phone calls and email to qualify, book a site survey and chase the quote. That points first to instant qualification of form enquiries, automated booking of consultations or surveys, and structured follow up on quotes that go quiet. Multi-location and commercial firms show extra need for lead routing and CRM updates, while companies with large installed bases show post-install follow up and support automation needs. Final verified count: 62 Ready prospects with a corroborated business email, plus 46 Review prospects, out of 259 unique companies researched. The 500 target was not reached because the research session's web search allowance (200 searches) ran out; no records were invented to fill the gap. All research was done through public web search results because direct website access was blocked in the research environment; rows marked Review need their email checked on the company website before sending.</t>
        </is>
      </c>
      <c r="B75" s="4" t="n"/>
      <c r="C75" s="4" t="n"/>
    </row>
  </sheetData>
  <mergeCells count="1">
    <mergeCell ref="A75:C7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2026-09-24T14:24:30Z</dcterms:created>
  <dcterms:modified xsi:type="dcterms:W3CDTF">2026-09-24T14:24:30Z</dcterms:modified>
</cp:coreProperties>
</file>